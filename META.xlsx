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ilva\Downloads\"/>
    </mc:Choice>
  </mc:AlternateContent>
  <xr:revisionPtr revIDLastSave="0" documentId="13_ncr:1_{A8BEAC76-DAFF-483E-92B1-0B850608608C}" xr6:coauthVersionLast="47" xr6:coauthVersionMax="47" xr10:uidLastSave="{00000000-0000-0000-0000-000000000000}"/>
  <bookViews>
    <workbookView xWindow="-120" yWindow="-120" windowWidth="29040" windowHeight="15840" xr2:uid="{A8378032-A7F3-453D-BC8B-75E9DB4FCE78}"/>
  </bookViews>
  <sheets>
    <sheet name="Main" sheetId="1" r:id="rId1"/>
    <sheet name="Mode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25" i="2" l="1"/>
  <c r="AY42" i="2"/>
  <c r="AU25" i="2"/>
  <c r="AT42" i="2"/>
  <c r="AA42" i="2"/>
  <c r="AB42" i="2" s="1"/>
  <c r="AC42" i="2" s="1"/>
  <c r="AD42" i="2" s="1"/>
  <c r="Z42" i="2"/>
  <c r="AZ17" i="2"/>
  <c r="Z12" i="2"/>
  <c r="Z15" i="2"/>
  <c r="Z14" i="2"/>
  <c r="Z10" i="2"/>
  <c r="Z9" i="2"/>
  <c r="AT9" i="2" s="1"/>
  <c r="AS14" i="2"/>
  <c r="AR14" i="2"/>
  <c r="AQ14" i="2"/>
  <c r="AP14" i="2"/>
  <c r="AS15" i="2"/>
  <c r="AR15" i="2"/>
  <c r="AQ15" i="2"/>
  <c r="AP15" i="2"/>
  <c r="AT15" i="2"/>
  <c r="AS12" i="2"/>
  <c r="AR12" i="2"/>
  <c r="AQ12" i="2"/>
  <c r="AP12" i="2"/>
  <c r="AO12" i="2"/>
  <c r="AT12" i="2"/>
  <c r="AO15" i="2"/>
  <c r="AO14" i="2"/>
  <c r="AS11" i="2"/>
  <c r="AR11" i="2"/>
  <c r="AQ11" i="2"/>
  <c r="AP11" i="2"/>
  <c r="AO11" i="2"/>
  <c r="AT10" i="2"/>
  <c r="AS10" i="2"/>
  <c r="AR10" i="2"/>
  <c r="AQ10" i="2"/>
  <c r="AP10" i="2"/>
  <c r="AO10" i="2"/>
  <c r="AO9" i="2"/>
  <c r="AP9" i="2"/>
  <c r="AQ9" i="2"/>
  <c r="AR9" i="2"/>
  <c r="AS9" i="2"/>
  <c r="AW18" i="2"/>
  <c r="AX18" i="2" s="1"/>
  <c r="AY18" i="2" s="1"/>
  <c r="AZ18" i="2" s="1"/>
  <c r="BA18" i="2" s="1"/>
  <c r="BB18" i="2" s="1"/>
  <c r="BC18" i="2" s="1"/>
  <c r="AV18" i="2"/>
  <c r="AT11" i="2" l="1"/>
  <c r="AT14" i="2" s="1"/>
  <c r="Z11" i="2"/>
  <c r="X15" i="2" l="1"/>
  <c r="W15" i="2"/>
  <c r="V15" i="2"/>
  <c r="U15" i="2"/>
  <c r="T15" i="2"/>
  <c r="S15" i="2"/>
  <c r="R15" i="2"/>
  <c r="Q15" i="2"/>
  <c r="P15" i="2"/>
  <c r="O15" i="2"/>
  <c r="N15" i="2"/>
  <c r="J15" i="2"/>
  <c r="Y15" i="2"/>
  <c r="Q11" i="2"/>
  <c r="X11" i="2"/>
  <c r="W11" i="2"/>
  <c r="V11" i="2"/>
  <c r="U11" i="2"/>
  <c r="U14" i="2" s="1"/>
  <c r="T11" i="2"/>
  <c r="S11" i="2"/>
  <c r="R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Y11" i="2"/>
  <c r="C83" i="2"/>
  <c r="C84" i="2" s="1"/>
  <c r="C75" i="2"/>
  <c r="C77" i="2" s="1"/>
  <c r="C71" i="2"/>
  <c r="C72" i="2" s="1"/>
  <c r="D83" i="2"/>
  <c r="D84" i="2" s="1"/>
  <c r="D75" i="2"/>
  <c r="D77" i="2" s="1"/>
  <c r="D71" i="2"/>
  <c r="D72" i="2" s="1"/>
  <c r="E83" i="2"/>
  <c r="E84" i="2" s="1"/>
  <c r="E75" i="2"/>
  <c r="E77" i="2" s="1"/>
  <c r="E71" i="2"/>
  <c r="E72" i="2" s="1"/>
  <c r="F83" i="2"/>
  <c r="F84" i="2" s="1"/>
  <c r="F75" i="2"/>
  <c r="F77" i="2" s="1"/>
  <c r="F71" i="2"/>
  <c r="F72" i="2" s="1"/>
  <c r="G83" i="2"/>
  <c r="G84" i="2" s="1"/>
  <c r="G75" i="2"/>
  <c r="G77" i="2" s="1"/>
  <c r="G71" i="2"/>
  <c r="G72" i="2" s="1"/>
  <c r="H83" i="2"/>
  <c r="H84" i="2" s="1"/>
  <c r="H75" i="2"/>
  <c r="H77" i="2" s="1"/>
  <c r="H71" i="2"/>
  <c r="H72" i="2" s="1"/>
  <c r="I83" i="2"/>
  <c r="I84" i="2" s="1"/>
  <c r="I75" i="2"/>
  <c r="I77" i="2" s="1"/>
  <c r="I71" i="2"/>
  <c r="I72" i="2" s="1"/>
  <c r="J83" i="2"/>
  <c r="J84" i="2" s="1"/>
  <c r="J75" i="2"/>
  <c r="J77" i="2" s="1"/>
  <c r="J71" i="2"/>
  <c r="J72" i="2" s="1"/>
  <c r="K83" i="2"/>
  <c r="K84" i="2" s="1"/>
  <c r="K75" i="2"/>
  <c r="K74" i="2"/>
  <c r="K71" i="2"/>
  <c r="K72" i="2" s="1"/>
  <c r="L83" i="2"/>
  <c r="L84" i="2" s="1"/>
  <c r="L75" i="2"/>
  <c r="L77" i="2" s="1"/>
  <c r="L71" i="2"/>
  <c r="L72" i="2" s="1"/>
  <c r="M83" i="2"/>
  <c r="M84" i="2" s="1"/>
  <c r="M75" i="2"/>
  <c r="M77" i="2" s="1"/>
  <c r="M71" i="2"/>
  <c r="M70" i="2"/>
  <c r="N83" i="2"/>
  <c r="N84" i="2" s="1"/>
  <c r="N75" i="2"/>
  <c r="N77" i="2" s="1"/>
  <c r="N70" i="2"/>
  <c r="N71" i="2"/>
  <c r="O70" i="2"/>
  <c r="O83" i="2"/>
  <c r="O84" i="2" s="1"/>
  <c r="O75" i="2"/>
  <c r="O77" i="2" s="1"/>
  <c r="O71" i="2"/>
  <c r="P83" i="2"/>
  <c r="P84" i="2" s="1"/>
  <c r="P75" i="2"/>
  <c r="P77" i="2" s="1"/>
  <c r="P71" i="2"/>
  <c r="P70" i="2"/>
  <c r="Q83" i="2"/>
  <c r="Q84" i="2" s="1"/>
  <c r="Q75" i="2"/>
  <c r="Q77" i="2" s="1"/>
  <c r="Q71" i="2"/>
  <c r="Q70" i="2"/>
  <c r="R83" i="2"/>
  <c r="R84" i="2" s="1"/>
  <c r="R75" i="2"/>
  <c r="R77" i="2" s="1"/>
  <c r="R71" i="2"/>
  <c r="R70" i="2"/>
  <c r="S83" i="2"/>
  <c r="S84" i="2" s="1"/>
  <c r="S75" i="2"/>
  <c r="S77" i="2" s="1"/>
  <c r="S71" i="2"/>
  <c r="S70" i="2"/>
  <c r="T83" i="2"/>
  <c r="T84" i="2" s="1"/>
  <c r="T75" i="2"/>
  <c r="T77" i="2" s="1"/>
  <c r="T71" i="2"/>
  <c r="T70" i="2"/>
  <c r="U83" i="2"/>
  <c r="U84" i="2" s="1"/>
  <c r="U75" i="2"/>
  <c r="U77" i="2" s="1"/>
  <c r="U71" i="2"/>
  <c r="U70" i="2"/>
  <c r="V83" i="2"/>
  <c r="V84" i="2" s="1"/>
  <c r="V75" i="2"/>
  <c r="V77" i="2" s="1"/>
  <c r="V71" i="2"/>
  <c r="V70" i="2"/>
  <c r="W83" i="2"/>
  <c r="W84" i="2" s="1"/>
  <c r="W75" i="2"/>
  <c r="W77" i="2" s="1"/>
  <c r="W71" i="2"/>
  <c r="W72" i="2" s="1"/>
  <c r="X83" i="2"/>
  <c r="X84" i="2" s="1"/>
  <c r="X75" i="2"/>
  <c r="X77" i="2" s="1"/>
  <c r="X71" i="2"/>
  <c r="X70" i="2"/>
  <c r="Y83" i="2"/>
  <c r="Y84" i="2" s="1"/>
  <c r="Y75" i="2"/>
  <c r="Y77" i="2" s="1"/>
  <c r="Y71" i="2"/>
  <c r="Y70" i="2"/>
  <c r="Y14" i="2" l="1"/>
  <c r="R14" i="2"/>
  <c r="J14" i="2"/>
  <c r="N14" i="2"/>
  <c r="S14" i="2"/>
  <c r="I14" i="2"/>
  <c r="M14" i="2"/>
  <c r="V14" i="2"/>
  <c r="W14" i="2"/>
  <c r="P72" i="2"/>
  <c r="P88" i="2" s="1"/>
  <c r="G14" i="2"/>
  <c r="K14" i="2"/>
  <c r="O14" i="2"/>
  <c r="T14" i="2"/>
  <c r="X14" i="2"/>
  <c r="H14" i="2"/>
  <c r="L14" i="2"/>
  <c r="P14" i="2"/>
  <c r="Q14" i="2"/>
  <c r="N72" i="2"/>
  <c r="N86" i="2" s="1"/>
  <c r="K77" i="2"/>
  <c r="K86" i="2" s="1"/>
  <c r="V72" i="2"/>
  <c r="V88" i="2" s="1"/>
  <c r="T72" i="2"/>
  <c r="T86" i="2" s="1"/>
  <c r="Q72" i="2"/>
  <c r="Q88" i="2" s="1"/>
  <c r="X72" i="2"/>
  <c r="X88" i="2" s="1"/>
  <c r="Y72" i="2"/>
  <c r="Y88" i="2" s="1"/>
  <c r="U72" i="2"/>
  <c r="U88" i="2" s="1"/>
  <c r="M72" i="2"/>
  <c r="M88" i="2" s="1"/>
  <c r="S72" i="2"/>
  <c r="S86" i="2" s="1"/>
  <c r="O72" i="2"/>
  <c r="O86" i="2" s="1"/>
  <c r="E86" i="2"/>
  <c r="R72" i="2"/>
  <c r="R88" i="2" s="1"/>
  <c r="F88" i="2"/>
  <c r="F86" i="2"/>
  <c r="J88" i="2"/>
  <c r="J86" i="2"/>
  <c r="N88" i="2"/>
  <c r="C86" i="2"/>
  <c r="C88" i="2"/>
  <c r="G86" i="2"/>
  <c r="G88" i="2"/>
  <c r="K88" i="2"/>
  <c r="D86" i="2"/>
  <c r="D88" i="2"/>
  <c r="H86" i="2"/>
  <c r="H88" i="2"/>
  <c r="L86" i="2"/>
  <c r="L88" i="2"/>
  <c r="E88" i="2"/>
  <c r="I88" i="2"/>
  <c r="I86" i="2"/>
  <c r="W88" i="2"/>
  <c r="W86" i="2"/>
  <c r="P86" i="2" l="1"/>
  <c r="V86" i="2"/>
  <c r="T88" i="2"/>
  <c r="W89" i="2" s="1"/>
  <c r="Q86" i="2"/>
  <c r="X86" i="2"/>
  <c r="U86" i="2"/>
  <c r="O88" i="2"/>
  <c r="Q89" i="2" s="1"/>
  <c r="S88" i="2"/>
  <c r="Y89" i="2"/>
  <c r="M86" i="2"/>
  <c r="R86" i="2"/>
  <c r="Y86" i="2"/>
  <c r="H89" i="2"/>
  <c r="I89" i="2"/>
  <c r="J89" i="2"/>
  <c r="K89" i="2"/>
  <c r="G89" i="2"/>
  <c r="L89" i="2"/>
  <c r="M89" i="2"/>
  <c r="N89" i="2"/>
  <c r="D89" i="2"/>
  <c r="F89" i="2"/>
  <c r="E89" i="2"/>
  <c r="X89" i="2"/>
  <c r="U89" i="2" l="1"/>
  <c r="O89" i="2"/>
  <c r="S89" i="2"/>
  <c r="R89" i="2"/>
  <c r="V89" i="2"/>
  <c r="T89" i="2"/>
  <c r="P89" i="2"/>
  <c r="Z46" i="2"/>
  <c r="X17" i="2"/>
  <c r="Z27" i="2"/>
  <c r="AA27" i="2" s="1"/>
  <c r="AB27" i="2" s="1"/>
  <c r="AC25" i="2"/>
  <c r="AB25" i="2"/>
  <c r="AA25" i="2"/>
  <c r="Z25" i="2"/>
  <c r="AD25" i="2" s="1"/>
  <c r="Z18" i="2"/>
  <c r="AA18" i="2" s="1"/>
  <c r="AB18" i="2" s="1"/>
  <c r="AC18" i="2" s="1"/>
  <c r="AD18" i="2" s="1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Y37" i="2"/>
  <c r="AC22" i="2"/>
  <c r="AB22" i="2"/>
  <c r="AA22" i="2"/>
  <c r="Z22" i="2"/>
  <c r="AD22" i="2" s="1"/>
  <c r="AC21" i="2"/>
  <c r="AB21" i="2"/>
  <c r="AA21" i="2"/>
  <c r="Z21" i="2"/>
  <c r="AD21" i="2" s="1"/>
  <c r="AC20" i="2"/>
  <c r="AB20" i="2"/>
  <c r="AB23" i="2" s="1"/>
  <c r="AA20" i="2"/>
  <c r="AA23" i="2" s="1"/>
  <c r="Z20" i="2"/>
  <c r="AD20" i="2" s="1"/>
  <c r="AC3" i="2"/>
  <c r="AB3" i="2"/>
  <c r="AA3" i="2"/>
  <c r="Z3" i="2"/>
  <c r="AD3" i="2" s="1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Y4" i="2"/>
  <c r="AC23" i="2" l="1"/>
  <c r="AD23" i="2"/>
  <c r="Z23" i="2"/>
  <c r="AC27" i="2"/>
  <c r="Z4" i="2"/>
  <c r="AD27" i="2" l="1"/>
  <c r="AA4" i="2"/>
  <c r="AB4" i="2" l="1"/>
  <c r="AD4" i="2" l="1"/>
  <c r="AC4" i="2"/>
  <c r="W6" i="2" l="1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C19" i="2"/>
  <c r="C33" i="2" s="1"/>
  <c r="C23" i="2"/>
  <c r="C43" i="2"/>
  <c r="C48" i="2"/>
  <c r="C52" i="2"/>
  <c r="C63" i="2" s="1"/>
  <c r="AO1" i="2"/>
  <c r="AP1" i="2" s="1"/>
  <c r="AQ1" i="2" s="1"/>
  <c r="AR1" i="2" s="1"/>
  <c r="AS1" i="2" s="1"/>
  <c r="AT1" i="2" s="1"/>
  <c r="AU1" i="2" s="1"/>
  <c r="AV1" i="2" s="1"/>
  <c r="AW1" i="2" s="1"/>
  <c r="AX1" i="2" s="1"/>
  <c r="AY1" i="2" s="1"/>
  <c r="AZ1" i="2" s="1"/>
  <c r="BA1" i="2" s="1"/>
  <c r="BB1" i="2" s="1"/>
  <c r="BC1" i="2" s="1"/>
  <c r="AO3" i="2"/>
  <c r="AP3" i="2"/>
  <c r="AQ3" i="2"/>
  <c r="AR3" i="2"/>
  <c r="AT3" i="2"/>
  <c r="AU3" i="2" s="1"/>
  <c r="AS3" i="2"/>
  <c r="AV3" i="2" l="1"/>
  <c r="AW3" i="2" s="1"/>
  <c r="AX3" i="2" s="1"/>
  <c r="AY3" i="2" s="1"/>
  <c r="AZ3" i="2" s="1"/>
  <c r="BA3" i="2" s="1"/>
  <c r="BB3" i="2" s="1"/>
  <c r="BC3" i="2" s="1"/>
  <c r="M7" i="2"/>
  <c r="AU4" i="2"/>
  <c r="T7" i="2"/>
  <c r="H7" i="2"/>
  <c r="L7" i="2"/>
  <c r="P7" i="2"/>
  <c r="J7" i="2"/>
  <c r="N7" i="2"/>
  <c r="R7" i="2"/>
  <c r="V7" i="2"/>
  <c r="I7" i="2"/>
  <c r="Q7" i="2"/>
  <c r="U7" i="2"/>
  <c r="G7" i="2"/>
  <c r="K7" i="2"/>
  <c r="O7" i="2"/>
  <c r="S7" i="2"/>
  <c r="AA6" i="2"/>
  <c r="W7" i="2"/>
  <c r="C50" i="2"/>
  <c r="C42" i="2"/>
  <c r="C24" i="2"/>
  <c r="AR4" i="2"/>
  <c r="AT4" i="2"/>
  <c r="AP4" i="2"/>
  <c r="AQ4" i="2"/>
  <c r="AS4" i="2"/>
  <c r="AP46" i="2"/>
  <c r="AQ46" i="2"/>
  <c r="AR46" i="2"/>
  <c r="AS46" i="2"/>
  <c r="AT46" i="2"/>
  <c r="AO46" i="2"/>
  <c r="AT25" i="2"/>
  <c r="AU27" i="2"/>
  <c r="AV27" i="2" s="1"/>
  <c r="AW27" i="2" s="1"/>
  <c r="AX27" i="2" s="1"/>
  <c r="AY27" i="2" s="1"/>
  <c r="AZ27" i="2" s="1"/>
  <c r="BA27" i="2" s="1"/>
  <c r="BB27" i="2" s="1"/>
  <c r="BC27" i="2" s="1"/>
  <c r="AU22" i="2"/>
  <c r="AU21" i="2"/>
  <c r="AU20" i="2"/>
  <c r="AU18" i="2"/>
  <c r="AT27" i="2"/>
  <c r="AT22" i="2"/>
  <c r="AT21" i="2"/>
  <c r="AT20" i="2"/>
  <c r="AT18" i="2"/>
  <c r="AS27" i="2"/>
  <c r="AS25" i="2"/>
  <c r="AS22" i="2"/>
  <c r="AS21" i="2"/>
  <c r="AS20" i="2"/>
  <c r="AS18" i="2"/>
  <c r="AS17" i="2"/>
  <c r="AS6" i="2" s="1"/>
  <c r="AR27" i="2"/>
  <c r="AR25" i="2"/>
  <c r="AR22" i="2"/>
  <c r="AR21" i="2"/>
  <c r="AR20" i="2"/>
  <c r="AR18" i="2"/>
  <c r="AR17" i="2"/>
  <c r="AR6" i="2" s="1"/>
  <c r="AQ27" i="2"/>
  <c r="AQ25" i="2"/>
  <c r="AQ22" i="2"/>
  <c r="AQ21" i="2"/>
  <c r="AQ20" i="2"/>
  <c r="AQ18" i="2"/>
  <c r="AQ17" i="2"/>
  <c r="AQ6" i="2" s="1"/>
  <c r="AP27" i="2"/>
  <c r="AP25" i="2"/>
  <c r="AP22" i="2"/>
  <c r="AP21" i="2"/>
  <c r="AP20" i="2"/>
  <c r="AP18" i="2"/>
  <c r="AP17" i="2"/>
  <c r="AP6" i="2" s="1"/>
  <c r="AO27" i="2"/>
  <c r="AO25" i="2"/>
  <c r="AO22" i="2"/>
  <c r="AO21" i="2"/>
  <c r="AO20" i="2"/>
  <c r="AO17" i="2"/>
  <c r="AO6" i="2" s="1"/>
  <c r="T43" i="2"/>
  <c r="T50" i="2" s="1"/>
  <c r="S48" i="2"/>
  <c r="S43" i="2"/>
  <c r="R43" i="2"/>
  <c r="R50" i="2" s="1"/>
  <c r="Q43" i="2"/>
  <c r="Q48" i="2"/>
  <c r="Q52" i="2"/>
  <c r="Q63" i="2" s="1"/>
  <c r="P52" i="2"/>
  <c r="P63" i="2" s="1"/>
  <c r="P48" i="2"/>
  <c r="P43" i="2"/>
  <c r="O52" i="2"/>
  <c r="O63" i="2" s="1"/>
  <c r="O48" i="2"/>
  <c r="O43" i="2"/>
  <c r="N52" i="2"/>
  <c r="N63" i="2" s="1"/>
  <c r="N48" i="2"/>
  <c r="N43" i="2"/>
  <c r="M52" i="2"/>
  <c r="M63" i="2" s="1"/>
  <c r="M48" i="2"/>
  <c r="M43" i="2"/>
  <c r="L52" i="2"/>
  <c r="L63" i="2" s="1"/>
  <c r="L48" i="2"/>
  <c r="L43" i="2"/>
  <c r="K52" i="2"/>
  <c r="K63" i="2" s="1"/>
  <c r="K48" i="2"/>
  <c r="K43" i="2"/>
  <c r="J52" i="2"/>
  <c r="J63" i="2" s="1"/>
  <c r="J48" i="2"/>
  <c r="J43" i="2"/>
  <c r="I52" i="2"/>
  <c r="I63" i="2" s="1"/>
  <c r="I48" i="2"/>
  <c r="I43" i="2"/>
  <c r="H52" i="2"/>
  <c r="H63" i="2" s="1"/>
  <c r="H48" i="2"/>
  <c r="H43" i="2"/>
  <c r="G52" i="2"/>
  <c r="G63" i="2" s="1"/>
  <c r="G48" i="2"/>
  <c r="G43" i="2"/>
  <c r="F52" i="2"/>
  <c r="F63" i="2" s="1"/>
  <c r="F48" i="2"/>
  <c r="F43" i="2"/>
  <c r="E52" i="2"/>
  <c r="E63" i="2" s="1"/>
  <c r="E43" i="2"/>
  <c r="E48" i="2"/>
  <c r="D52" i="2"/>
  <c r="D63" i="2" s="1"/>
  <c r="D48" i="2"/>
  <c r="D43" i="2"/>
  <c r="U43" i="2"/>
  <c r="U50" i="2" s="1"/>
  <c r="V43" i="2"/>
  <c r="V42" i="2" s="1"/>
  <c r="W43" i="2"/>
  <c r="W42" i="2" s="1"/>
  <c r="X43" i="2"/>
  <c r="X50" i="2" s="1"/>
  <c r="T63" i="2"/>
  <c r="S63" i="2"/>
  <c r="R63" i="2"/>
  <c r="X63" i="2"/>
  <c r="W63" i="2"/>
  <c r="V63" i="2"/>
  <c r="P23" i="2"/>
  <c r="P19" i="2"/>
  <c r="O23" i="2"/>
  <c r="O19" i="2"/>
  <c r="N23" i="2"/>
  <c r="N19" i="2"/>
  <c r="M23" i="2"/>
  <c r="M19" i="2"/>
  <c r="L23" i="2"/>
  <c r="L19" i="2"/>
  <c r="K23" i="2"/>
  <c r="K19" i="2"/>
  <c r="J23" i="2"/>
  <c r="J19" i="2"/>
  <c r="I23" i="2"/>
  <c r="I19" i="2"/>
  <c r="H23" i="2"/>
  <c r="H19" i="2"/>
  <c r="G19" i="2"/>
  <c r="G23" i="2"/>
  <c r="G40" i="2" s="1"/>
  <c r="F23" i="2"/>
  <c r="F19" i="2"/>
  <c r="E23" i="2"/>
  <c r="E19" i="2"/>
  <c r="D19" i="2"/>
  <c r="D23" i="2"/>
  <c r="Q23" i="2"/>
  <c r="Q40" i="2" s="1"/>
  <c r="Q19" i="2"/>
  <c r="R23" i="2"/>
  <c r="R40" i="2" s="1"/>
  <c r="R19" i="2"/>
  <c r="V23" i="2"/>
  <c r="V19" i="2"/>
  <c r="S23" i="2"/>
  <c r="S19" i="2"/>
  <c r="W23" i="2"/>
  <c r="W19" i="2"/>
  <c r="T23" i="2"/>
  <c r="T40" i="2" s="1"/>
  <c r="T19" i="2"/>
  <c r="X23" i="2"/>
  <c r="U63" i="2"/>
  <c r="Y63" i="2"/>
  <c r="Z57" i="2"/>
  <c r="Y43" i="2"/>
  <c r="Y50" i="2" s="1"/>
  <c r="AV4" i="2" l="1"/>
  <c r="AP37" i="2"/>
  <c r="AQ38" i="2"/>
  <c r="AR39" i="2"/>
  <c r="AT38" i="2"/>
  <c r="AW4" i="2"/>
  <c r="AP38" i="2"/>
  <c r="X40" i="2"/>
  <c r="AQ39" i="2"/>
  <c r="AS37" i="2"/>
  <c r="W40" i="2"/>
  <c r="AT39" i="2"/>
  <c r="V40" i="2"/>
  <c r="H40" i="2"/>
  <c r="AV20" i="2"/>
  <c r="M40" i="2"/>
  <c r="AV21" i="2"/>
  <c r="AW21" i="2" s="1"/>
  <c r="AX21" i="2" s="1"/>
  <c r="AY21" i="2" s="1"/>
  <c r="AZ21" i="2" s="1"/>
  <c r="BA21" i="2" s="1"/>
  <c r="BB21" i="2" s="1"/>
  <c r="BC21" i="2" s="1"/>
  <c r="AP39" i="2"/>
  <c r="AR37" i="2"/>
  <c r="AS38" i="2"/>
  <c r="AV22" i="2"/>
  <c r="AW22" i="2" s="1"/>
  <c r="AX22" i="2" s="1"/>
  <c r="AY22" i="2" s="1"/>
  <c r="AZ22" i="2" s="1"/>
  <c r="BA22" i="2" s="1"/>
  <c r="BB22" i="2" s="1"/>
  <c r="BC22" i="2" s="1"/>
  <c r="I40" i="2"/>
  <c r="K40" i="2"/>
  <c r="O40" i="2"/>
  <c r="S40" i="2"/>
  <c r="J40" i="2"/>
  <c r="L40" i="2"/>
  <c r="N40" i="2"/>
  <c r="P40" i="2"/>
  <c r="AQ37" i="2"/>
  <c r="AR38" i="2"/>
  <c r="AS39" i="2"/>
  <c r="AT37" i="2"/>
  <c r="AA7" i="2"/>
  <c r="AA17" i="2"/>
  <c r="C34" i="2"/>
  <c r="C26" i="2"/>
  <c r="AS40" i="2"/>
  <c r="AO19" i="2"/>
  <c r="AO33" i="2" s="1"/>
  <c r="AR40" i="2"/>
  <c r="I50" i="2"/>
  <c r="AP19" i="2"/>
  <c r="AP33" i="2" s="1"/>
  <c r="AP40" i="2"/>
  <c r="O50" i="2"/>
  <c r="AT40" i="2"/>
  <c r="AP23" i="2"/>
  <c r="AR32" i="2"/>
  <c r="AT23" i="2"/>
  <c r="AQ40" i="2"/>
  <c r="K50" i="2"/>
  <c r="AO23" i="2"/>
  <c r="AQ32" i="2"/>
  <c r="AS23" i="2"/>
  <c r="AU23" i="2"/>
  <c r="G50" i="2"/>
  <c r="AQ19" i="2"/>
  <c r="AQ33" i="2" s="1"/>
  <c r="AR23" i="2"/>
  <c r="AQ23" i="2"/>
  <c r="AS19" i="2"/>
  <c r="AS33" i="2" s="1"/>
  <c r="AP32" i="2"/>
  <c r="AR19" i="2"/>
  <c r="AS32" i="2"/>
  <c r="J50" i="2"/>
  <c r="L50" i="2"/>
  <c r="M50" i="2"/>
  <c r="S50" i="2"/>
  <c r="E50" i="2"/>
  <c r="K24" i="2"/>
  <c r="K26" i="2" s="1"/>
  <c r="Q50" i="2"/>
  <c r="P50" i="2"/>
  <c r="N50" i="2"/>
  <c r="N42" i="2"/>
  <c r="H50" i="2"/>
  <c r="F50" i="2"/>
  <c r="D50" i="2"/>
  <c r="X42" i="2"/>
  <c r="M42" i="2"/>
  <c r="N24" i="2"/>
  <c r="N26" i="2" s="1"/>
  <c r="N28" i="2" s="1"/>
  <c r="N65" i="2" s="1"/>
  <c r="Q42" i="2"/>
  <c r="E42" i="2"/>
  <c r="F42" i="2"/>
  <c r="L24" i="2"/>
  <c r="L34" i="2" s="1"/>
  <c r="J42" i="2"/>
  <c r="W24" i="2"/>
  <c r="W26" i="2" s="1"/>
  <c r="F24" i="2"/>
  <c r="F34" i="2" s="1"/>
  <c r="M24" i="2"/>
  <c r="M26" i="2" s="1"/>
  <c r="M28" i="2" s="1"/>
  <c r="M65" i="2" s="1"/>
  <c r="O24" i="2"/>
  <c r="P24" i="2"/>
  <c r="I42" i="2"/>
  <c r="Y42" i="2"/>
  <c r="W50" i="2"/>
  <c r="R42" i="2"/>
  <c r="V50" i="2"/>
  <c r="G42" i="2"/>
  <c r="K42" i="2"/>
  <c r="O42" i="2"/>
  <c r="S42" i="2"/>
  <c r="D42" i="2"/>
  <c r="H42" i="2"/>
  <c r="L42" i="2"/>
  <c r="P42" i="2"/>
  <c r="T42" i="2"/>
  <c r="J24" i="2"/>
  <c r="U42" i="2"/>
  <c r="H24" i="2"/>
  <c r="I24" i="2"/>
  <c r="G24" i="2"/>
  <c r="G34" i="2" s="1"/>
  <c r="E24" i="2"/>
  <c r="E34" i="2" s="1"/>
  <c r="D24" i="2"/>
  <c r="D26" i="2" s="1"/>
  <c r="Q24" i="2"/>
  <c r="Q26" i="2" s="1"/>
  <c r="R24" i="2"/>
  <c r="R26" i="2" s="1"/>
  <c r="V24" i="2"/>
  <c r="V26" i="2" s="1"/>
  <c r="S24" i="2"/>
  <c r="S26" i="2" s="1"/>
  <c r="T24" i="2"/>
  <c r="T26" i="2" s="1"/>
  <c r="W33" i="2"/>
  <c r="V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U23" i="2"/>
  <c r="U40" i="2" s="1"/>
  <c r="U19" i="2"/>
  <c r="U33" i="2" s="1"/>
  <c r="Y23" i="2"/>
  <c r="K5" i="1"/>
  <c r="K4" i="1"/>
  <c r="K2" i="1"/>
  <c r="K3" i="1" s="1"/>
  <c r="K6" i="1" l="1"/>
  <c r="AX4" i="2"/>
  <c r="Y40" i="2"/>
  <c r="AV23" i="2"/>
  <c r="AW20" i="2"/>
  <c r="AA32" i="2"/>
  <c r="AA19" i="2"/>
  <c r="C28" i="2"/>
  <c r="C65" i="2" s="1"/>
  <c r="C35" i="2"/>
  <c r="AP24" i="2"/>
  <c r="AP34" i="2" s="1"/>
  <c r="AO24" i="2"/>
  <c r="AO34" i="2" s="1"/>
  <c r="AQ24" i="2"/>
  <c r="AQ26" i="2" s="1"/>
  <c r="AQ35" i="2" s="1"/>
  <c r="AS24" i="2"/>
  <c r="AS26" i="2" s="1"/>
  <c r="L26" i="2"/>
  <c r="L28" i="2" s="1"/>
  <c r="L65" i="2" s="1"/>
  <c r="K34" i="2"/>
  <c r="AR24" i="2"/>
  <c r="AR33" i="2"/>
  <c r="W34" i="2"/>
  <c r="T34" i="2"/>
  <c r="G26" i="2"/>
  <c r="G35" i="2" s="1"/>
  <c r="F26" i="2"/>
  <c r="O34" i="2"/>
  <c r="O26" i="2"/>
  <c r="K35" i="2"/>
  <c r="K28" i="2"/>
  <c r="K65" i="2" s="1"/>
  <c r="P34" i="2"/>
  <c r="P26" i="2"/>
  <c r="N34" i="2"/>
  <c r="W28" i="2"/>
  <c r="W65" i="2" s="1"/>
  <c r="W35" i="2"/>
  <c r="J34" i="2"/>
  <c r="J26" i="2"/>
  <c r="M34" i="2"/>
  <c r="H34" i="2"/>
  <c r="H26" i="2"/>
  <c r="I34" i="2"/>
  <c r="I26" i="2"/>
  <c r="E26" i="2"/>
  <c r="E28" i="2" s="1"/>
  <c r="E65" i="2" s="1"/>
  <c r="D34" i="2"/>
  <c r="D35" i="2"/>
  <c r="D28" i="2"/>
  <c r="D65" i="2" s="1"/>
  <c r="Q34" i="2"/>
  <c r="Q35" i="2"/>
  <c r="Q28" i="2"/>
  <c r="Q65" i="2" s="1"/>
  <c r="R34" i="2"/>
  <c r="R28" i="2"/>
  <c r="R65" i="2" s="1"/>
  <c r="R35" i="2"/>
  <c r="V34" i="2"/>
  <c r="V28" i="2"/>
  <c r="V65" i="2" s="1"/>
  <c r="V35" i="2"/>
  <c r="S34" i="2"/>
  <c r="S28" i="2"/>
  <c r="S65" i="2" s="1"/>
  <c r="S35" i="2"/>
  <c r="T28" i="2"/>
  <c r="T65" i="2" s="1"/>
  <c r="T35" i="2"/>
  <c r="U24" i="2"/>
  <c r="AY4" i="2" l="1"/>
  <c r="AA33" i="2"/>
  <c r="AA24" i="2"/>
  <c r="AW23" i="2"/>
  <c r="AX20" i="2"/>
  <c r="AO26" i="2"/>
  <c r="AO28" i="2" s="1"/>
  <c r="AP26" i="2"/>
  <c r="AP28" i="2" s="1"/>
  <c r="AQ34" i="2"/>
  <c r="L35" i="2"/>
  <c r="G28" i="2"/>
  <c r="G65" i="2" s="1"/>
  <c r="AS34" i="2"/>
  <c r="AQ28" i="2"/>
  <c r="AR34" i="2"/>
  <c r="AR26" i="2"/>
  <c r="AS28" i="2"/>
  <c r="AS35" i="2"/>
  <c r="J35" i="2"/>
  <c r="J28" i="2"/>
  <c r="J65" i="2" s="1"/>
  <c r="P35" i="2"/>
  <c r="P28" i="2"/>
  <c r="P65" i="2" s="1"/>
  <c r="O28" i="2"/>
  <c r="O65" i="2" s="1"/>
  <c r="O35" i="2"/>
  <c r="F35" i="2"/>
  <c r="F28" i="2"/>
  <c r="F65" i="2" s="1"/>
  <c r="N35" i="2"/>
  <c r="H35" i="2"/>
  <c r="H28" i="2"/>
  <c r="H65" i="2" s="1"/>
  <c r="I35" i="2"/>
  <c r="I28" i="2"/>
  <c r="I65" i="2" s="1"/>
  <c r="E35" i="2"/>
  <c r="M35" i="2"/>
  <c r="U26" i="2"/>
  <c r="U34" i="2"/>
  <c r="AZ4" i="2" l="1"/>
  <c r="AO35" i="2"/>
  <c r="AY20" i="2"/>
  <c r="AX23" i="2"/>
  <c r="AA26" i="2"/>
  <c r="AA34" i="2"/>
  <c r="AP35" i="2"/>
  <c r="AR28" i="2"/>
  <c r="AR35" i="2"/>
  <c r="U28" i="2"/>
  <c r="U65" i="2" s="1"/>
  <c r="U35" i="2"/>
  <c r="BA4" i="2" l="1"/>
  <c r="AY23" i="2"/>
  <c r="AZ20" i="2"/>
  <c r="AA28" i="2"/>
  <c r="AA35" i="2"/>
  <c r="AP7" i="2"/>
  <c r="AR7" i="2"/>
  <c r="AQ7" i="2"/>
  <c r="AS7" i="2"/>
  <c r="Y19" i="2"/>
  <c r="Y24" i="2" s="1"/>
  <c r="Y32" i="2"/>
  <c r="Y6" i="2"/>
  <c r="AC6" i="2" s="1"/>
  <c r="BC4" i="2" l="1"/>
  <c r="BB4" i="2"/>
  <c r="Y7" i="2"/>
  <c r="BA20" i="2"/>
  <c r="AZ23" i="2"/>
  <c r="Y33" i="2"/>
  <c r="Y34" i="2"/>
  <c r="Y26" i="2"/>
  <c r="AC7" i="2"/>
  <c r="AC17" i="2"/>
  <c r="Z6" i="2"/>
  <c r="BB20" i="2" l="1"/>
  <c r="BA23" i="2"/>
  <c r="AC32" i="2"/>
  <c r="AC19" i="2"/>
  <c r="Y28" i="2"/>
  <c r="Y65" i="2" s="1"/>
  <c r="Y35" i="2"/>
  <c r="Z17" i="2"/>
  <c r="AD6" i="2"/>
  <c r="Z7" i="2"/>
  <c r="BC20" i="2" l="1"/>
  <c r="BC23" i="2" s="1"/>
  <c r="BB23" i="2"/>
  <c r="AC24" i="2"/>
  <c r="AC33" i="2"/>
  <c r="Z19" i="2"/>
  <c r="Z32" i="2"/>
  <c r="AD17" i="2"/>
  <c r="AD7" i="2"/>
  <c r="Z33" i="2" l="1"/>
  <c r="Z24" i="2"/>
  <c r="AD32" i="2"/>
  <c r="AD19" i="2"/>
  <c r="AC26" i="2"/>
  <c r="AC34" i="2"/>
  <c r="AD33" i="2" l="1"/>
  <c r="AD24" i="2"/>
  <c r="Z34" i="2"/>
  <c r="Z26" i="2"/>
  <c r="AC28" i="2"/>
  <c r="AC35" i="2"/>
  <c r="AD34" i="2" l="1"/>
  <c r="AD26" i="2"/>
  <c r="Z35" i="2"/>
  <c r="Z28" i="2"/>
  <c r="AD35" i="2" l="1"/>
  <c r="AD28" i="2"/>
  <c r="AT17" i="2"/>
  <c r="AT32" i="2" s="1"/>
  <c r="X19" i="2"/>
  <c r="X24" i="2" s="1"/>
  <c r="X32" i="2"/>
  <c r="X6" i="2"/>
  <c r="AB6" i="2" s="1"/>
  <c r="X7" i="2" l="1"/>
  <c r="X33" i="2"/>
  <c r="X26" i="2"/>
  <c r="X35" i="2" s="1"/>
  <c r="X34" i="2"/>
  <c r="AB17" i="2"/>
  <c r="AB7" i="2"/>
  <c r="X28" i="2"/>
  <c r="X65" i="2" s="1"/>
  <c r="AT6" i="2"/>
  <c r="AU6" i="2" s="1"/>
  <c r="AV6" i="2" s="1"/>
  <c r="AT19" i="2"/>
  <c r="AW6" i="2" l="1"/>
  <c r="AV7" i="2"/>
  <c r="AT7" i="2"/>
  <c r="AT33" i="2"/>
  <c r="AT24" i="2"/>
  <c r="AB19" i="2"/>
  <c r="AU17" i="2"/>
  <c r="AB32" i="2"/>
  <c r="AX6" i="2" l="1"/>
  <c r="AW7" i="2"/>
  <c r="AU7" i="2"/>
  <c r="AU19" i="2"/>
  <c r="AU32" i="2"/>
  <c r="AB24" i="2"/>
  <c r="AB33" i="2"/>
  <c r="AT26" i="2"/>
  <c r="AT34" i="2"/>
  <c r="AY6" i="2" l="1"/>
  <c r="AX7" i="2"/>
  <c r="AV17" i="2"/>
  <c r="AB34" i="2"/>
  <c r="AB26" i="2"/>
  <c r="AT35" i="2"/>
  <c r="AT28" i="2"/>
  <c r="AU24" i="2"/>
  <c r="AU33" i="2"/>
  <c r="AZ6" i="2" l="1"/>
  <c r="AY7" i="2"/>
  <c r="AV32" i="2"/>
  <c r="AV19" i="2"/>
  <c r="AW17" i="2"/>
  <c r="AB35" i="2"/>
  <c r="AB28" i="2"/>
  <c r="AU34" i="2"/>
  <c r="AU26" i="2"/>
  <c r="BA6" i="2" l="1"/>
  <c r="BA17" i="2" s="1"/>
  <c r="AZ7" i="2"/>
  <c r="AZ19" i="2"/>
  <c r="AW32" i="2"/>
  <c r="AW19" i="2"/>
  <c r="AY17" i="2"/>
  <c r="AZ32" i="2" s="1"/>
  <c r="AX17" i="2"/>
  <c r="AV24" i="2"/>
  <c r="AV33" i="2"/>
  <c r="AU35" i="2"/>
  <c r="AU28" i="2"/>
  <c r="AU42" i="2" s="1"/>
  <c r="AV25" i="2" s="1"/>
  <c r="BB6" i="2" l="1"/>
  <c r="BB17" i="2" s="1"/>
  <c r="BA7" i="2"/>
  <c r="BA19" i="2"/>
  <c r="BA32" i="2"/>
  <c r="AZ24" i="2"/>
  <c r="AZ33" i="2"/>
  <c r="AX32" i="2"/>
  <c r="AX19" i="2"/>
  <c r="AY32" i="2"/>
  <c r="AY19" i="2"/>
  <c r="AW33" i="2"/>
  <c r="AW24" i="2"/>
  <c r="AV34" i="2"/>
  <c r="BC6" i="2" l="1"/>
  <c r="BB7" i="2"/>
  <c r="AZ34" i="2"/>
  <c r="BB19" i="2"/>
  <c r="BB32" i="2"/>
  <c r="BA24" i="2"/>
  <c r="BA33" i="2"/>
  <c r="AW34" i="2"/>
  <c r="AX33" i="2"/>
  <c r="AX24" i="2"/>
  <c r="AY33" i="2"/>
  <c r="AY24" i="2"/>
  <c r="BC7" i="2" l="1"/>
  <c r="BC17" i="2"/>
  <c r="BA34" i="2"/>
  <c r="BB24" i="2"/>
  <c r="BB33" i="2"/>
  <c r="AY34" i="2"/>
  <c r="AX34" i="2"/>
  <c r="BC19" i="2" l="1"/>
  <c r="BC32" i="2"/>
  <c r="BB34" i="2"/>
  <c r="BC33" i="2" l="1"/>
  <c r="BC24" i="2"/>
  <c r="BC34" i="2" l="1"/>
  <c r="AV26" i="2" l="1"/>
  <c r="AV35" i="2" s="1"/>
  <c r="AV28" i="2"/>
  <c r="AV42" i="2"/>
  <c r="AW25" i="2" l="1"/>
  <c r="AW26" i="2" s="1"/>
  <c r="AW35" i="2" l="1"/>
  <c r="AW28" i="2"/>
  <c r="AW42" i="2" s="1"/>
  <c r="AX25" i="2" l="1"/>
  <c r="AX26" i="2" s="1"/>
  <c r="AX35" i="2" l="1"/>
  <c r="AX28" i="2"/>
  <c r="AX42" i="2" l="1"/>
  <c r="AY25" i="2" l="1"/>
  <c r="AY26" i="2" s="1"/>
  <c r="AY35" i="2" l="1"/>
  <c r="AY28" i="2"/>
  <c r="AZ25" i="2" l="1"/>
  <c r="AZ26" i="2" s="1"/>
  <c r="AZ35" i="2" l="1"/>
  <c r="AZ28" i="2"/>
  <c r="AZ42" i="2" l="1"/>
  <c r="BA25" i="2" l="1"/>
  <c r="BA26" i="2" s="1"/>
  <c r="BA28" i="2" l="1"/>
  <c r="BA35" i="2"/>
  <c r="BA42" i="2" l="1"/>
  <c r="BB25" i="2" s="1"/>
  <c r="BB26" i="2" s="1"/>
  <c r="BB35" i="2" l="1"/>
  <c r="BB28" i="2"/>
  <c r="BB42" i="2" s="1"/>
  <c r="BC26" i="2" l="1"/>
  <c r="BC35" i="2" l="1"/>
  <c r="BC28" i="2"/>
  <c r="BC42" i="2" l="1"/>
  <c r="BD28" i="2"/>
  <c r="BE28" i="2" s="1"/>
  <c r="BF28" i="2" s="1"/>
  <c r="BG28" i="2" s="1"/>
  <c r="BH28" i="2" s="1"/>
  <c r="BI28" i="2" s="1"/>
  <c r="BJ28" i="2" s="1"/>
  <c r="BK28" i="2" s="1"/>
  <c r="BL28" i="2" s="1"/>
  <c r="BM28" i="2" s="1"/>
  <c r="BN28" i="2" s="1"/>
  <c r="BO28" i="2" s="1"/>
  <c r="BP28" i="2" s="1"/>
  <c r="BQ28" i="2" s="1"/>
  <c r="BR28" i="2" s="1"/>
  <c r="BS28" i="2" s="1"/>
  <c r="BT28" i="2" s="1"/>
  <c r="BU28" i="2" s="1"/>
  <c r="BV28" i="2" s="1"/>
  <c r="BW28" i="2" s="1"/>
  <c r="BX28" i="2" s="1"/>
  <c r="BY28" i="2" s="1"/>
  <c r="BZ28" i="2" s="1"/>
  <c r="CA28" i="2" s="1"/>
  <c r="CB28" i="2" s="1"/>
  <c r="CC28" i="2" s="1"/>
  <c r="CD28" i="2" s="1"/>
  <c r="CE28" i="2" s="1"/>
  <c r="CF28" i="2" s="1"/>
  <c r="CG28" i="2" s="1"/>
  <c r="CH28" i="2" s="1"/>
  <c r="CI28" i="2" s="1"/>
  <c r="CJ28" i="2" s="1"/>
  <c r="CK28" i="2" s="1"/>
  <c r="CL28" i="2" s="1"/>
  <c r="CM28" i="2" s="1"/>
  <c r="CN28" i="2" s="1"/>
  <c r="CO28" i="2" s="1"/>
  <c r="CP28" i="2" s="1"/>
  <c r="CQ28" i="2" s="1"/>
  <c r="CR28" i="2" s="1"/>
  <c r="CS28" i="2" s="1"/>
  <c r="CT28" i="2" s="1"/>
  <c r="CU28" i="2" s="1"/>
  <c r="CV28" i="2" s="1"/>
  <c r="CW28" i="2" s="1"/>
  <c r="CX28" i="2" s="1"/>
  <c r="CY28" i="2" s="1"/>
  <c r="CZ28" i="2" s="1"/>
  <c r="DA28" i="2" s="1"/>
  <c r="DB28" i="2" s="1"/>
  <c r="DC28" i="2" s="1"/>
  <c r="DD28" i="2" s="1"/>
  <c r="DE28" i="2" s="1"/>
  <c r="DF28" i="2" s="1"/>
  <c r="DG28" i="2" s="1"/>
  <c r="DH28" i="2" s="1"/>
  <c r="DI28" i="2" s="1"/>
  <c r="DJ28" i="2" s="1"/>
  <c r="DK28" i="2" s="1"/>
  <c r="DL28" i="2" s="1"/>
  <c r="DM28" i="2" s="1"/>
  <c r="DN28" i="2" s="1"/>
  <c r="DO28" i="2" s="1"/>
  <c r="DP28" i="2" s="1"/>
  <c r="DQ28" i="2" s="1"/>
  <c r="DR28" i="2" s="1"/>
  <c r="DS28" i="2" s="1"/>
  <c r="DT28" i="2" s="1"/>
  <c r="DU28" i="2" s="1"/>
  <c r="DV28" i="2" s="1"/>
  <c r="DW28" i="2" s="1"/>
  <c r="DX28" i="2" s="1"/>
  <c r="DY28" i="2" s="1"/>
  <c r="DZ28" i="2" s="1"/>
  <c r="EA28" i="2" s="1"/>
  <c r="EB28" i="2" s="1"/>
  <c r="EC28" i="2" s="1"/>
  <c r="ED28" i="2" s="1"/>
  <c r="EE28" i="2" s="1"/>
  <c r="EF28" i="2" s="1"/>
  <c r="EG28" i="2" s="1"/>
  <c r="EH28" i="2" s="1"/>
  <c r="EI28" i="2" s="1"/>
  <c r="EJ28" i="2" s="1"/>
  <c r="EK28" i="2" s="1"/>
  <c r="BE33" i="2" s="1"/>
  <c r="BE37" i="2" s="1"/>
  <c r="BE38" i="2" s="1"/>
</calcChain>
</file>

<file path=xl/sharedStrings.xml><?xml version="1.0" encoding="utf-8"?>
<sst xmlns="http://schemas.openxmlformats.org/spreadsheetml/2006/main" count="170" uniqueCount="157">
  <si>
    <t>Price</t>
  </si>
  <si>
    <t>Shares</t>
  </si>
  <si>
    <t>Q325</t>
  </si>
  <si>
    <t>MC</t>
  </si>
  <si>
    <t>Cash</t>
  </si>
  <si>
    <t>Debt</t>
  </si>
  <si>
    <t>EV</t>
  </si>
  <si>
    <t xml:space="preserve">Founded </t>
  </si>
  <si>
    <t>CEO</t>
  </si>
  <si>
    <t>Mark Zuckerberg</t>
  </si>
  <si>
    <t>COO</t>
  </si>
  <si>
    <t>Javier Olivan</t>
  </si>
  <si>
    <t>CFO</t>
  </si>
  <si>
    <t>Susan Li</t>
  </si>
  <si>
    <t>Sector</t>
  </si>
  <si>
    <r>
      <t>Interactive Media &amp; Services</t>
    </r>
    <r>
      <rPr>
        <sz val="11"/>
        <color theme="1"/>
        <rFont val="Aptos Narrow"/>
        <family val="2"/>
        <scheme val="minor"/>
      </rPr>
      <t xml:space="preserve"> or Social Media.</t>
    </r>
  </si>
  <si>
    <t>CTO</t>
  </si>
  <si>
    <t>Andrew Bosworth</t>
  </si>
  <si>
    <t>Business model</t>
  </si>
  <si>
    <t>Targeted Advertising</t>
  </si>
  <si>
    <t>CPO</t>
  </si>
  <si>
    <t>Chris Cox</t>
  </si>
  <si>
    <t>Facebook</t>
  </si>
  <si>
    <t>Chief Legal Officer</t>
  </si>
  <si>
    <t>Jennifer Newstead</t>
  </si>
  <si>
    <t>Instagram</t>
  </si>
  <si>
    <t>President, Global Affairs</t>
  </si>
  <si>
    <t>Joel Kaplan</t>
  </si>
  <si>
    <t>Messenger</t>
  </si>
  <si>
    <t>Chief Strategy Officer</t>
  </si>
  <si>
    <t>Dave Wehner</t>
  </si>
  <si>
    <t>Whatsapp</t>
  </si>
  <si>
    <t>Chief Marketing Officer</t>
  </si>
  <si>
    <t>Alex Schultz</t>
  </si>
  <si>
    <t>Threads</t>
  </si>
  <si>
    <t>Reality Labs</t>
  </si>
  <si>
    <t>Meta Quest Headsets</t>
  </si>
  <si>
    <t>Ray Ban Meta Smart Glasses</t>
  </si>
  <si>
    <t>Oakley Meta Smart Glasses</t>
  </si>
  <si>
    <t/>
  </si>
  <si>
    <t>Accessories&amp;Content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</si>
  <si>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</si>
  <si>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</si>
  <si>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</si>
  <si>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</si>
  <si>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</si>
  <si>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</si>
  <si>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</si>
  <si>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</si>
  <si>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</si>
  <si>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</si>
  <si>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</si>
  <si>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</si>
  <si>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</si>
  <si>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</si>
  <si>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</si>
  <si>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</si>
  <si>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</si>
  <si>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</si>
  <si>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</si>
  <si>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</si>
  <si>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</si>
  <si>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</si>
  <si>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Q425</t>
  </si>
  <si>
    <t>Q126</t>
  </si>
  <si>
    <t>Q226</t>
  </si>
  <si>
    <t>Q326</t>
  </si>
  <si>
    <t>Q426</t>
  </si>
  <si>
    <t>DAP(Daily Active People)</t>
  </si>
  <si>
    <t>DAP Growth y/y</t>
  </si>
  <si>
    <t>ARPU(Average Revenue Per User)</t>
  </si>
  <si>
    <t>ARPU Growth y/y</t>
  </si>
  <si>
    <t>Advertising</t>
  </si>
  <si>
    <t>Other revenue</t>
  </si>
  <si>
    <t>Family of Apps</t>
  </si>
  <si>
    <t>Advertising growth y/y</t>
  </si>
  <si>
    <t>Reality Labs growth y/y</t>
  </si>
  <si>
    <t>Revenue</t>
  </si>
  <si>
    <t>COGS</t>
  </si>
  <si>
    <t>Gross Profit</t>
  </si>
  <si>
    <t>R&amp;D</t>
  </si>
  <si>
    <t>M&amp;S</t>
  </si>
  <si>
    <t>G&amp;A</t>
  </si>
  <si>
    <t>Operating Expenses</t>
  </si>
  <si>
    <t>Operating Income</t>
  </si>
  <si>
    <t>Interest</t>
  </si>
  <si>
    <t>Pretax</t>
  </si>
  <si>
    <t>Tax</t>
  </si>
  <si>
    <t>Net Income</t>
  </si>
  <si>
    <t>EPS</t>
  </si>
  <si>
    <t>Revenue y/y</t>
  </si>
  <si>
    <t>Gross Margin</t>
  </si>
  <si>
    <t>NPV</t>
  </si>
  <si>
    <t>Operating Margin</t>
  </si>
  <si>
    <t>Discount</t>
  </si>
  <si>
    <t>Tax Rate</t>
  </si>
  <si>
    <t>Terminal</t>
  </si>
  <si>
    <t>ROIC</t>
  </si>
  <si>
    <t>R&amp;D y/y</t>
  </si>
  <si>
    <t>Share</t>
  </si>
  <si>
    <t>M&amp;S y/y</t>
  </si>
  <si>
    <t>Upside</t>
  </si>
  <si>
    <t>G&amp;A y/y</t>
  </si>
  <si>
    <t>PP&amp;E y/y</t>
  </si>
  <si>
    <t>Net Cash</t>
  </si>
  <si>
    <t>AR</t>
  </si>
  <si>
    <t>Prepaid expenses&amp;other</t>
  </si>
  <si>
    <t>PP&amp;E</t>
  </si>
  <si>
    <t>Operating lease</t>
  </si>
  <si>
    <t>Intangible</t>
  </si>
  <si>
    <t>Other assets</t>
  </si>
  <si>
    <t>Assets</t>
  </si>
  <si>
    <t>AP</t>
  </si>
  <si>
    <t>Operating lease current</t>
  </si>
  <si>
    <t>Accrued expenses&amp;other</t>
  </si>
  <si>
    <t>Operating lease non current</t>
  </si>
  <si>
    <t>Deferred revenue</t>
  </si>
  <si>
    <t>Long-term income taxes</t>
  </si>
  <si>
    <t>Other liabilities</t>
  </si>
  <si>
    <t>Common stock&amp; additional paid in capital</t>
  </si>
  <si>
    <t>Accumulated other comprehensive income</t>
  </si>
  <si>
    <t>Retaind earnings</t>
  </si>
  <si>
    <t>L+SE</t>
  </si>
  <si>
    <t>Model NI</t>
  </si>
  <si>
    <t>Reported NI</t>
  </si>
  <si>
    <t>D&amp;A</t>
  </si>
  <si>
    <t>SBC</t>
  </si>
  <si>
    <t>DI</t>
  </si>
  <si>
    <t>Other</t>
  </si>
  <si>
    <t>WC</t>
  </si>
  <si>
    <t>CFFO</t>
  </si>
  <si>
    <t>CapEx</t>
  </si>
  <si>
    <t>Investing</t>
  </si>
  <si>
    <t>Acquisitions</t>
  </si>
  <si>
    <t>CFFI</t>
  </si>
  <si>
    <t>SBC Taxes</t>
  </si>
  <si>
    <t>Buybacks</t>
  </si>
  <si>
    <t>Dividens</t>
  </si>
  <si>
    <t>CFFF</t>
  </si>
  <si>
    <t>FX</t>
  </si>
  <si>
    <t>CIC</t>
  </si>
  <si>
    <t>FCF</t>
  </si>
  <si>
    <t>FCF TTM</t>
  </si>
  <si>
    <t>Year</t>
  </si>
  <si>
    <t>Name Company</t>
  </si>
  <si>
    <t>Value in millions</t>
  </si>
  <si>
    <t>Undisclosed</t>
  </si>
  <si>
    <t>Scale AI</t>
  </si>
  <si>
    <t>WaveForms AI</t>
  </si>
  <si>
    <t>PlayAI</t>
  </si>
  <si>
    <t>Kustomer</t>
  </si>
  <si>
    <t>Luxexcel</t>
  </si>
  <si>
    <t>Within</t>
  </si>
  <si>
    <t>Giphy</t>
  </si>
  <si>
    <t>CTRL-Labs</t>
  </si>
  <si>
    <t>Redkix</t>
  </si>
  <si>
    <t>Ozlo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</si>
</sst>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3" fontId="1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right"/>
    </xf>
    <xf numFmtId="9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3" fontId="1" fillId="0" borderId="0" xfId="0" applyNumberFormat="1" applyFont="1"/>
    <xf numFmtId="0" fontId="1" fillId="0" borderId="0" xfId="0" applyFont="1"/>
    <xf numFmtId="3" fontId="2" fillId="0" borderId="0" xfId="0" applyNumberFormat="1" applyFont="1"/>
    <xf numFmtId="3" fontId="1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/>
    </xf>
    <xf numFmtId="0" fontId="2" fillId="0" borderId="0" xfId="0" applyFont="1" applyAlignment="1">
      <alignment vertical="top"/>
    </xf>
    <xf numFmtId="0" fontId="1" fillId="0" borderId="0" xfId="0" quotePrefix="1" applyFont="1"/>
    <xf numFmtId="3" fontId="0" fillId="0" borderId="0" xfId="0" applyNumberFormat="1"/>
    <xf numFmtId="3" fontId="3" fillId="0" borderId="0" xfId="0" applyNumberFormat="1" applyFont="1"/>
    <xf numFmtId="0" fontId="3" fillId="0" borderId="0" xfId="0" applyFont="1"/>
    <xf numFmtId="3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415925</xdr:colOff>
      <xdr:row>0</xdr:row>
      <xdr:rowOff>0</xdr:rowOff>
    </xdr:from>
    <xdr:to>
      <xdr:col>6</xdr:col>
      <xdr:colOff>561975</xdr:colOff>
      <xdr:row>12</xdr:row>
      <xdr:rowOff>127000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4354CB-480D-09E0-368F-2C993F561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475" y="0"/>
          <a:ext cx="3794125" cy="209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17056</xdr:colOff>
      <xdr:row>0</xdr:row>
      <xdr:rowOff>11076</xdr:rowOff>
    </xdr:from>
    <xdr:to>
      <xdr:col>25</xdr:col>
      <xdr:colOff>19050</xdr:colOff>
      <xdr:row>97</xdr:row>
      <xdr:rowOff>76200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F3DF274-69A7-F992-C37B-E11F67630B93}"/>
            </a:ext>
          </a:extLst>
        </xdr:cNvPr>
        <xdr:cNvCxnSpPr/>
      </xdr:nvCxnSpPr>
      <xdr:spPr>
        <a:xfrm>
          <a:off x="17095381" y="11076"/>
          <a:ext cx="1994" cy="1496222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9525</xdr:colOff>
      <xdr:row>0</xdr:row>
      <xdr:rowOff>0</xdr:rowOff>
    </xdr:from>
    <xdr:to>
      <xdr:col>46</xdr:col>
      <xdr:colOff>9525</xdr:colOff>
      <xdr:row>78</xdr:row>
      <xdr:rowOff>123825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CC2B821-8F46-593B-D32E-C93364DAE43C}"/>
            </a:ext>
          </a:extLst>
        </xdr:cNvPr>
        <xdr:cNvCxnSpPr/>
      </xdr:nvCxnSpPr>
      <xdr:spPr>
        <a:xfrm>
          <a:off x="29889450" y="0"/>
          <a:ext cx="0" cy="119443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75256-FAC0-463C-995D-B56AC267F4D5}">
  <dimension ref="B1:O33"/>
  <sheetViews>
    <sheetView tabSelected="1" topLeftCell="B1" zoomScaleNormal="100" workbookViewId="0">
      <selection activeCell="H34" sqref="H34"/>
    </sheetView>
  </sheetViews>
  <sheetFormatPr defaultColWidth="8.85546875" defaultRowHeight="12.75" x14ac:dyDescent="0.2"/>
  <cols>
    <col min="1" max="1" width="8.85546875" style="12"/>
    <col min="2" max="2" width="14.42578125" style="12" bestFit="1" customWidth="1"/>
    <col min="3" max="3" width="11.28515625" style="12" customWidth="1"/>
    <col min="4" max="4" width="8.7109375" style="12" customWidth="1"/>
    <col min="5" max="5" width="10.140625" style="12" bestFit="1" customWidth="1"/>
    <col min="6" max="8" width="10.140625" style="12" customWidth="1"/>
    <col min="9" max="9" width="12.140625" style="12" bestFit="1" customWidth="1"/>
    <col min="10" max="10" width="21.42578125" style="12" bestFit="1" customWidth="1"/>
    <col min="11" max="11" width="34.140625" style="12" bestFit="1" customWidth="1"/>
    <col min="12" max="12" width="16" style="12" bestFit="1" customWidth="1"/>
    <col min="13" max="16384" width="8.85546875" style="12"/>
  </cols>
  <sheetData>
    <row r="1" spans="2:12" x14ac:dyDescent="0.2">
      <c r="J1" s="11" t="s">
        <v>0</v>
      </c>
      <c r="K1" s="14">
        <v>585</v>
      </c>
    </row>
    <row r="2" spans="2:12" x14ac:dyDescent="0.2">
      <c r="J2" s="11" t="s">
        <v>1</v>
      </c>
      <c r="K2" s="14">
        <f>2178+342</f>
        <v>2520</v>
      </c>
      <c r="L2" s="12" t="s">
        <v>2</v>
      </c>
    </row>
    <row r="3" spans="2:12" x14ac:dyDescent="0.2">
      <c r="J3" s="11" t="s">
        <v>3</v>
      </c>
      <c r="K3" s="14">
        <f>K1*K2</f>
        <v>1474200</v>
      </c>
    </row>
    <row r="4" spans="2:12" x14ac:dyDescent="0.2">
      <c r="J4" s="11" t="s">
        <v>4</v>
      </c>
      <c r="K4" s="14">
        <f>10187+34261+25074</f>
        <v>69522</v>
      </c>
      <c r="L4" s="12" t="s">
        <v>2</v>
      </c>
    </row>
    <row r="5" spans="2:12" x14ac:dyDescent="0.2">
      <c r="J5" s="11" t="s">
        <v>5</v>
      </c>
      <c r="K5" s="14">
        <f>28834+11738</f>
        <v>40572</v>
      </c>
      <c r="L5" s="12" t="s">
        <v>2</v>
      </c>
    </row>
    <row r="6" spans="2:12" x14ac:dyDescent="0.2">
      <c r="J6" s="11" t="s">
        <v>6</v>
      </c>
      <c r="K6" s="14">
        <f>K3-K4+K5</f>
        <v>1445250</v>
      </c>
    </row>
    <row r="7" spans="2:12" x14ac:dyDescent="0.2">
      <c r="K7" s="15"/>
    </row>
    <row r="8" spans="2:12" ht="15" x14ac:dyDescent="0.25">
      <c r="C8"/>
      <c r="J8" s="13" t="s">
        <v>7</v>
      </c>
      <c r="K8" s="17">
        <v>2004</v>
      </c>
    </row>
    <row r="9" spans="2:12" x14ac:dyDescent="0.2">
      <c r="J9" s="11"/>
      <c r="K9" s="16"/>
    </row>
    <row r="10" spans="2:12" x14ac:dyDescent="0.2">
      <c r="J10" s="11" t="s">
        <v>8</v>
      </c>
      <c r="K10" s="16" t="s">
        <v>9</v>
      </c>
    </row>
    <row r="11" spans="2:12" x14ac:dyDescent="0.2">
      <c r="J11" s="12" t="s">
        <v>10</v>
      </c>
      <c r="K11" s="16" t="s">
        <v>11</v>
      </c>
    </row>
    <row r="12" spans="2:12" x14ac:dyDescent="0.2">
      <c r="J12" s="12" t="s">
        <v>12</v>
      </c>
      <c r="K12" s="16" t="s">
        <v>13</v>
      </c>
    </row>
    <row r="13" spans="2:12" ht="15" x14ac:dyDescent="0.25">
      <c r="B13" s="12" t="s">
        <v>14</v>
      </c>
      <c r="C13" t="s">
        <v>15</v>
      </c>
      <c r="J13" s="12" t="s">
        <v>16</v>
      </c>
      <c r="K13" s="16" t="s">
        <v>17</v>
      </c>
    </row>
    <row r="14" spans="2:12" x14ac:dyDescent="0.2">
      <c r="B14" s="12" t="s">
        <v>18</v>
      </c>
      <c r="C14" s="12" t="s">
        <v>19</v>
      </c>
      <c r="J14" s="12" t="s">
        <v>20</v>
      </c>
      <c r="K14" s="16" t="s">
        <v>21</v>
      </c>
    </row>
    <row r="15" spans="2:12" x14ac:dyDescent="0.2">
      <c r="E15" s="12" t="s">
        <v>22</v>
      </c>
      <c r="J15" s="12" t="s">
        <v>23</v>
      </c>
      <c r="K15" s="16" t="s">
        <v>24</v>
      </c>
    </row>
    <row r="16" spans="2:12" x14ac:dyDescent="0.2">
      <c r="E16" s="12" t="s">
        <v>25</v>
      </c>
      <c r="J16" s="12" t="s">
        <v>26</v>
      </c>
      <c r="K16" s="16" t="s">
        <v>27</v>
      </c>
    </row>
    <row r="17" spans="3:15" x14ac:dyDescent="0.2">
      <c r="E17" s="12" t="s">
        <v>28</v>
      </c>
      <c r="J17" s="12" t="s">
        <v>29</v>
      </c>
      <c r="K17" s="16" t="s">
        <v>30</v>
      </c>
    </row>
    <row r="18" spans="3:15" x14ac:dyDescent="0.2">
      <c r="E18" s="12" t="s">
        <v>31</v>
      </c>
      <c r="J18" s="12" t="s">
        <v>32</v>
      </c>
      <c r="K18" s="16" t="s">
        <v>33</v>
      </c>
    </row>
    <row r="19" spans="3:15" x14ac:dyDescent="0.2">
      <c r="E19" s="12" t="s">
        <v>34</v>
      </c>
      <c r="K19" s="16"/>
    </row>
    <row r="20" spans="3:15" x14ac:dyDescent="0.2">
      <c r="C20" s="12" t="s">
        <v>35</v>
      </c>
      <c r="K20" s="16"/>
    </row>
    <row r="21" spans="3:15" ht="15" x14ac:dyDescent="0.25">
      <c r="D21" s="12" t="s">
        <v>36</v>
      </c>
      <c r="I21" s="21" t="s">
        <v>133</v>
      </c>
      <c r="J21"/>
      <c r="K21"/>
      <c r="L21"/>
    </row>
    <row r="22" spans="3:15" ht="15" x14ac:dyDescent="0.25">
      <c r="D22" s="12" t="s">
        <v>37</v>
      </c>
      <c r="I22" s="21"/>
      <c r="J22" s="21" t="s">
        <v>143</v>
      </c>
      <c r="K22" s="20" t="s">
        <v>144</v>
      </c>
      <c r="L22" s="20" t="s">
        <v>145</v>
      </c>
    </row>
    <row r="23" spans="3:15" ht="15" x14ac:dyDescent="0.25">
      <c r="D23" s="12" t="s">
        <v>38</v>
      </c>
      <c r="I23"/>
      <c r="J23" s="23">
        <v>2025</v>
      </c>
      <c r="K23" t="s">
        <v>147</v>
      </c>
      <c r="L23" s="22">
        <v>14300</v>
      </c>
      <c r="O23" s="18" t="s">
        <v>39</v>
      </c>
    </row>
    <row r="24" spans="3:15" ht="15" x14ac:dyDescent="0.25">
      <c r="D24" s="12" t="s">
        <v>40</v>
      </c>
      <c r="I24"/>
      <c r="J24" s="23">
        <v>2025</v>
      </c>
      <c r="K24" t="s">
        <v>148</v>
      </c>
      <c r="L24" s="19" t="s">
        <v>146</v>
      </c>
    </row>
    <row r="25" spans="3:15" ht="15" x14ac:dyDescent="0.25">
      <c r="I25"/>
      <c r="J25" s="23">
        <v>2025</v>
      </c>
      <c r="K25" t="s">
        <v>149</v>
      </c>
      <c r="L25" s="19" t="s">
        <v>146</v>
      </c>
    </row>
    <row r="26" spans="3:15" ht="15" x14ac:dyDescent="0.25">
      <c r="I26"/>
      <c r="J26" s="23">
        <v>2023</v>
      </c>
      <c r="K26" t="s">
        <v>150</v>
      </c>
      <c r="L26" s="22">
        <v>1000</v>
      </c>
    </row>
    <row r="27" spans="3:15" ht="15" x14ac:dyDescent="0.25">
      <c r="I27"/>
      <c r="J27" s="23">
        <v>2022</v>
      </c>
      <c r="K27" t="s">
        <v>151</v>
      </c>
      <c r="L27" s="22" t="s">
        <v>146</v>
      </c>
    </row>
    <row r="28" spans="3:15" ht="15" x14ac:dyDescent="0.25">
      <c r="I28"/>
      <c r="J28" s="23">
        <v>2021</v>
      </c>
      <c r="K28" t="s">
        <v>152</v>
      </c>
      <c r="L28" s="22">
        <v>400</v>
      </c>
    </row>
    <row r="29" spans="3:15" ht="15" x14ac:dyDescent="0.25">
      <c r="I29"/>
      <c r="J29" s="23">
        <v>2020</v>
      </c>
      <c r="K29" t="s">
        <v>153</v>
      </c>
      <c r="L29" s="22">
        <v>400</v>
      </c>
    </row>
    <row r="30" spans="3:15" ht="15" x14ac:dyDescent="0.25">
      <c r="I30"/>
      <c r="J30" s="23">
        <v>2019</v>
      </c>
      <c r="K30" t="s">
        <v>154</v>
      </c>
      <c r="L30" s="22">
        <v>1000</v>
      </c>
    </row>
    <row r="31" spans="3:15" ht="15" x14ac:dyDescent="0.25">
      <c r="I31"/>
      <c r="J31" s="23">
        <v>2018</v>
      </c>
      <c r="K31" t="s">
        <v>155</v>
      </c>
      <c r="L31" s="22">
        <v>100</v>
      </c>
    </row>
    <row r="32" spans="3:15" ht="15" x14ac:dyDescent="0.25">
      <c r="I32"/>
      <c r="J32" s="23">
        <v>2017</v>
      </c>
      <c r="K32" t="s">
        <v>156</v>
      </c>
      <c r="L32" s="22" t="s">
        <v>146</v>
      </c>
    </row>
    <row r="33" spans="9:12" ht="15" x14ac:dyDescent="0.25">
      <c r="I33"/>
      <c r="J33" s="23"/>
      <c r="K33"/>
      <c r="L33" s="2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942D2-ACB7-4BC8-B4BD-3C8DB43EB638}">
  <dimension ref="B1:EK89"/>
  <sheetViews>
    <sheetView zoomScaleNormal="100" workbookViewId="0">
      <pane xSplit="2" ySplit="1" topLeftCell="AX23" activePane="bottomRight" state="frozen"/>
      <selection pane="topRight" activeCell="C1" sqref="C1"/>
      <selection pane="bottomLeft" activeCell="A2" sqref="A2"/>
      <selection pane="bottomRight" activeCell="BC25" sqref="BC25"/>
    </sheetView>
  </sheetViews>
  <sheetFormatPr defaultColWidth="9.140625" defaultRowHeight="12.75" x14ac:dyDescent="0.2"/>
  <cols>
    <col min="1" max="1" width="9.140625" style="1" customWidth="1"/>
    <col min="2" max="2" width="36.140625" style="5" bestFit="1" customWidth="1"/>
    <col min="3" max="24" width="9.140625" style="1"/>
    <col min="25" max="26" width="9.7109375" style="1" bestFit="1" customWidth="1"/>
    <col min="27" max="45" width="9.140625" style="1"/>
    <col min="46" max="46" width="10.7109375" style="1" bestFit="1" customWidth="1"/>
    <col min="47" max="55" width="9.140625" style="1"/>
    <col min="56" max="56" width="12" style="1" bestFit="1" customWidth="1"/>
    <col min="57" max="16384" width="9.140625" style="1"/>
  </cols>
  <sheetData>
    <row r="1" spans="2:56" x14ac:dyDescent="0.2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2</v>
      </c>
      <c r="Z1" s="1" t="s">
        <v>63</v>
      </c>
      <c r="AA1" s="1" t="s">
        <v>64</v>
      </c>
      <c r="AB1" s="1" t="s">
        <v>65</v>
      </c>
      <c r="AC1" s="1" t="s">
        <v>66</v>
      </c>
      <c r="AD1" s="1" t="s">
        <v>67</v>
      </c>
      <c r="AO1" s="6">
        <f>2020</f>
        <v>2020</v>
      </c>
      <c r="AP1" s="6">
        <f>AO1+1</f>
        <v>2021</v>
      </c>
      <c r="AQ1" s="6">
        <f t="shared" ref="AQ1" si="0">AP1+1</f>
        <v>2022</v>
      </c>
      <c r="AR1" s="6">
        <f t="shared" ref="AR1" si="1">AQ1+1</f>
        <v>2023</v>
      </c>
      <c r="AS1" s="6">
        <f t="shared" ref="AS1" si="2">AR1+1</f>
        <v>2024</v>
      </c>
      <c r="AT1" s="6">
        <f t="shared" ref="AT1" si="3">AS1+1</f>
        <v>2025</v>
      </c>
      <c r="AU1" s="6">
        <f t="shared" ref="AU1" si="4">AT1+1</f>
        <v>2026</v>
      </c>
      <c r="AV1" s="6">
        <f t="shared" ref="AV1" si="5">AU1+1</f>
        <v>2027</v>
      </c>
      <c r="AW1" s="6">
        <f t="shared" ref="AW1" si="6">AV1+1</f>
        <v>2028</v>
      </c>
      <c r="AX1" s="6">
        <f t="shared" ref="AX1" si="7">AW1+1</f>
        <v>2029</v>
      </c>
      <c r="AY1" s="6">
        <f t="shared" ref="AY1" si="8">AX1+1</f>
        <v>2030</v>
      </c>
      <c r="AZ1" s="6">
        <f t="shared" ref="AZ1" si="9">AY1+1</f>
        <v>2031</v>
      </c>
      <c r="BA1" s="6">
        <f t="shared" ref="BA1" si="10">AZ1+1</f>
        <v>2032</v>
      </c>
      <c r="BB1" s="6">
        <f t="shared" ref="BB1" si="11">BA1+1</f>
        <v>2033</v>
      </c>
      <c r="BC1" s="6">
        <f t="shared" ref="BC1" si="12">BB1+1</f>
        <v>2034</v>
      </c>
      <c r="BD1" s="6"/>
    </row>
    <row r="2" spans="2:56" x14ac:dyDescent="0.2"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</row>
    <row r="3" spans="2:56" x14ac:dyDescent="0.2">
      <c r="B3" s="5" t="s">
        <v>68</v>
      </c>
      <c r="C3" s="1">
        <v>2470</v>
      </c>
      <c r="D3" s="1">
        <v>2470</v>
      </c>
      <c r="E3" s="1">
        <v>2540</v>
      </c>
      <c r="F3" s="1">
        <v>2600</v>
      </c>
      <c r="G3" s="1">
        <v>2720</v>
      </c>
      <c r="H3" s="1">
        <v>2760</v>
      </c>
      <c r="I3" s="1">
        <v>2810</v>
      </c>
      <c r="J3" s="1">
        <v>2820</v>
      </c>
      <c r="K3" s="1">
        <v>2870</v>
      </c>
      <c r="L3" s="1">
        <v>2880</v>
      </c>
      <c r="M3" s="1">
        <v>2930</v>
      </c>
      <c r="N3" s="1">
        <v>2960</v>
      </c>
      <c r="O3" s="1">
        <v>3020</v>
      </c>
      <c r="P3" s="1">
        <v>3070</v>
      </c>
      <c r="Q3" s="1">
        <v>3140</v>
      </c>
      <c r="R3" s="1">
        <v>3190</v>
      </c>
      <c r="S3" s="1">
        <v>3240</v>
      </c>
      <c r="T3" s="1">
        <v>3270</v>
      </c>
      <c r="U3" s="1">
        <v>3290</v>
      </c>
      <c r="V3" s="1">
        <v>3350</v>
      </c>
      <c r="W3" s="1">
        <v>3430</v>
      </c>
      <c r="X3" s="1">
        <v>3480</v>
      </c>
      <c r="Y3" s="1">
        <v>3540</v>
      </c>
      <c r="Z3" s="1">
        <f>V3*1.06</f>
        <v>3551</v>
      </c>
      <c r="AA3" s="1">
        <f t="shared" ref="AA3:AD3" si="13">W3*1.06</f>
        <v>3635.8</v>
      </c>
      <c r="AB3" s="1">
        <f t="shared" si="13"/>
        <v>3688.8</v>
      </c>
      <c r="AC3" s="1">
        <f>Y3*1.07</f>
        <v>3787.8</v>
      </c>
      <c r="AD3" s="1">
        <f t="shared" si="13"/>
        <v>3764.0600000000004</v>
      </c>
      <c r="AO3" s="1">
        <f>AVERAGE(C3:F3)</f>
        <v>2520</v>
      </c>
      <c r="AP3" s="1">
        <f>AVERAGE(G3:J3)</f>
        <v>2777.5</v>
      </c>
      <c r="AQ3" s="1">
        <f>AVERAGE(K3:N3)</f>
        <v>2910</v>
      </c>
      <c r="AR3" s="1">
        <f>AVERAGE(O3:R3)</f>
        <v>3105</v>
      </c>
      <c r="AS3" s="1">
        <f>AVERAGE(S3:V3)</f>
        <v>3287.5</v>
      </c>
      <c r="AT3" s="1">
        <f>AVERAGE(W3:Z3)</f>
        <v>3500.25</v>
      </c>
      <c r="AU3" s="1">
        <f>AT3*1.06</f>
        <v>3710.2650000000003</v>
      </c>
      <c r="AV3" s="1">
        <f t="shared" ref="AV3" si="14">AU3*1.06</f>
        <v>3932.8809000000006</v>
      </c>
      <c r="AW3" s="1">
        <f t="shared" ref="AW3:BC3" si="15">AV3*1.03</f>
        <v>4050.8673270000008</v>
      </c>
      <c r="AX3" s="1">
        <f t="shared" si="15"/>
        <v>4172.3933468100013</v>
      </c>
      <c r="AY3" s="1">
        <f t="shared" si="15"/>
        <v>4297.5651472143018</v>
      </c>
      <c r="AZ3" s="1">
        <f t="shared" si="15"/>
        <v>4426.4921016307308</v>
      </c>
      <c r="BA3" s="1">
        <f t="shared" si="15"/>
        <v>4559.2868646796524</v>
      </c>
      <c r="BB3" s="1">
        <f t="shared" si="15"/>
        <v>4696.0654706200421</v>
      </c>
      <c r="BC3" s="1">
        <f t="shared" si="15"/>
        <v>4836.9474347386431</v>
      </c>
    </row>
    <row r="4" spans="2:56" x14ac:dyDescent="0.2">
      <c r="B4" s="5" t="s">
        <v>69</v>
      </c>
      <c r="D4" s="3"/>
      <c r="E4" s="3"/>
      <c r="F4" s="3"/>
      <c r="G4" s="3">
        <f t="shared" ref="G4:X4" si="16">G3/C3-1</f>
        <v>0.10121457489878538</v>
      </c>
      <c r="H4" s="3">
        <f t="shared" si="16"/>
        <v>0.1174089068825912</v>
      </c>
      <c r="I4" s="3">
        <f t="shared" si="16"/>
        <v>0.10629921259842523</v>
      </c>
      <c r="J4" s="3">
        <f t="shared" si="16"/>
        <v>8.4615384615384537E-2</v>
      </c>
      <c r="K4" s="3">
        <f t="shared" si="16"/>
        <v>5.5147058823529438E-2</v>
      </c>
      <c r="L4" s="3">
        <f t="shared" si="16"/>
        <v>4.3478260869565188E-2</v>
      </c>
      <c r="M4" s="3">
        <f t="shared" si="16"/>
        <v>4.2704626334519658E-2</v>
      </c>
      <c r="N4" s="3">
        <f t="shared" si="16"/>
        <v>4.9645390070921946E-2</v>
      </c>
      <c r="O4" s="3">
        <f t="shared" si="16"/>
        <v>5.2264808362369353E-2</v>
      </c>
      <c r="P4" s="3">
        <f t="shared" si="16"/>
        <v>6.5972222222222321E-2</v>
      </c>
      <c r="Q4" s="3">
        <f t="shared" si="16"/>
        <v>7.1672354948805417E-2</v>
      </c>
      <c r="R4" s="3">
        <f t="shared" si="16"/>
        <v>7.7702702702702631E-2</v>
      </c>
      <c r="S4" s="3">
        <f t="shared" si="16"/>
        <v>7.2847682119205226E-2</v>
      </c>
      <c r="T4" s="3">
        <f t="shared" si="16"/>
        <v>6.514657980456029E-2</v>
      </c>
      <c r="U4" s="3">
        <f t="shared" si="16"/>
        <v>4.7770700636942776E-2</v>
      </c>
      <c r="V4" s="3">
        <f t="shared" si="16"/>
        <v>5.0156739811912265E-2</v>
      </c>
      <c r="W4" s="3">
        <f t="shared" si="16"/>
        <v>5.8641975308642014E-2</v>
      </c>
      <c r="X4" s="3">
        <f t="shared" si="16"/>
        <v>6.4220183486238591E-2</v>
      </c>
      <c r="Y4" s="3">
        <f>Y3/U3-1</f>
        <v>7.5987841945288848E-2</v>
      </c>
      <c r="Z4" s="3">
        <f t="shared" ref="Z4:AD4" si="17">Z3/V3-1</f>
        <v>6.0000000000000053E-2</v>
      </c>
      <c r="AA4" s="3">
        <f t="shared" si="17"/>
        <v>6.0000000000000053E-2</v>
      </c>
      <c r="AB4" s="3">
        <f t="shared" si="17"/>
        <v>6.0000000000000053E-2</v>
      </c>
      <c r="AC4" s="3">
        <f t="shared" si="17"/>
        <v>7.0000000000000062E-2</v>
      </c>
      <c r="AD4" s="3">
        <f t="shared" si="17"/>
        <v>6.0000000000000053E-2</v>
      </c>
      <c r="AP4" s="3">
        <f t="shared" ref="AP4:AU4" si="18">AP3/AO3-1</f>
        <v>0.10218253968253976</v>
      </c>
      <c r="AQ4" s="3">
        <f t="shared" si="18"/>
        <v>4.7704770477047687E-2</v>
      </c>
      <c r="AR4" s="3">
        <f t="shared" si="18"/>
        <v>6.7010309278350499E-2</v>
      </c>
      <c r="AS4" s="3">
        <f t="shared" si="18"/>
        <v>5.8776167471819685E-2</v>
      </c>
      <c r="AT4" s="3">
        <f t="shared" si="18"/>
        <v>6.4714828897338483E-2</v>
      </c>
      <c r="AU4" s="3">
        <f t="shared" si="18"/>
        <v>6.0000000000000053E-2</v>
      </c>
      <c r="AV4" s="3">
        <f t="shared" ref="AV4:BC4" si="19">AV3/AU3-1</f>
        <v>6.0000000000000053E-2</v>
      </c>
      <c r="AW4" s="3">
        <f t="shared" si="19"/>
        <v>3.0000000000000027E-2</v>
      </c>
      <c r="AX4" s="3">
        <f t="shared" si="19"/>
        <v>3.0000000000000027E-2</v>
      </c>
      <c r="AY4" s="3">
        <f t="shared" si="19"/>
        <v>3.0000000000000027E-2</v>
      </c>
      <c r="AZ4" s="3">
        <f t="shared" si="19"/>
        <v>3.0000000000000027E-2</v>
      </c>
      <c r="BA4" s="3">
        <f t="shared" si="19"/>
        <v>3.0000000000000027E-2</v>
      </c>
      <c r="BB4" s="3">
        <f t="shared" si="19"/>
        <v>3.0000000000000027E-2</v>
      </c>
      <c r="BC4" s="3">
        <f t="shared" si="19"/>
        <v>3.0000000000000027E-2</v>
      </c>
    </row>
    <row r="5" spans="2:56" x14ac:dyDescent="0.2"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10"/>
      <c r="Y5" s="3"/>
      <c r="AP5" s="3"/>
      <c r="AQ5" s="3"/>
      <c r="AR5" s="3"/>
      <c r="AS5" s="3"/>
      <c r="AT5" s="3"/>
    </row>
    <row r="6" spans="2:56" x14ac:dyDescent="0.2">
      <c r="B6" s="5" t="s">
        <v>70</v>
      </c>
      <c r="C6" s="9">
        <f t="shared" ref="C6:Y6" si="20">C17/C3</f>
        <v>7.1809716599190283</v>
      </c>
      <c r="D6" s="9">
        <f t="shared" si="20"/>
        <v>7.5655870445344133</v>
      </c>
      <c r="E6" s="9">
        <f t="shared" si="20"/>
        <v>8.4527559055118111</v>
      </c>
      <c r="F6" s="9">
        <f t="shared" si="20"/>
        <v>10.796923076923077</v>
      </c>
      <c r="G6" s="9">
        <f t="shared" si="20"/>
        <v>9.6216911764705877</v>
      </c>
      <c r="H6" s="9">
        <f t="shared" si="20"/>
        <v>10.535144927536232</v>
      </c>
      <c r="I6" s="9">
        <f t="shared" si="20"/>
        <v>10.323843416370106</v>
      </c>
      <c r="J6" s="9">
        <f t="shared" si="20"/>
        <v>11.940070921985816</v>
      </c>
      <c r="K6" s="9">
        <f t="shared" si="20"/>
        <v>9.7240418118466891</v>
      </c>
      <c r="L6" s="9">
        <f t="shared" si="20"/>
        <v>10.00763888888889</v>
      </c>
      <c r="M6" s="9">
        <f t="shared" si="20"/>
        <v>9.458703071672355</v>
      </c>
      <c r="N6" s="9">
        <f t="shared" si="20"/>
        <v>10.866554054054054</v>
      </c>
      <c r="O6" s="9">
        <f t="shared" si="20"/>
        <v>9.4850993377483448</v>
      </c>
      <c r="P6" s="9">
        <f t="shared" si="20"/>
        <v>10.423127035830619</v>
      </c>
      <c r="Q6" s="9">
        <f t="shared" si="20"/>
        <v>10.87452229299363</v>
      </c>
      <c r="R6" s="9">
        <f t="shared" si="20"/>
        <v>12.57398119122257</v>
      </c>
      <c r="S6" s="9">
        <f t="shared" si="20"/>
        <v>11.251543209876543</v>
      </c>
      <c r="T6" s="9">
        <f t="shared" si="20"/>
        <v>11.948318042813456</v>
      </c>
      <c r="U6" s="9">
        <f t="shared" si="20"/>
        <v>12.337082066869302</v>
      </c>
      <c r="V6" s="9">
        <f t="shared" si="20"/>
        <v>14.443283582089553</v>
      </c>
      <c r="W6" s="9">
        <f t="shared" si="20"/>
        <v>12.336443148688046</v>
      </c>
      <c r="X6" s="9">
        <f t="shared" si="20"/>
        <v>13.654022988505748</v>
      </c>
      <c r="Y6" s="9">
        <f t="shared" si="20"/>
        <v>14.475141242937854</v>
      </c>
      <c r="Z6" s="9">
        <f>Y6*1.16</f>
        <v>16.791163841807908</v>
      </c>
      <c r="AA6" s="9">
        <f>W6*1.17</f>
        <v>14.433638483965012</v>
      </c>
      <c r="AB6" s="9">
        <f>X6*1.13</f>
        <v>15.429045977011494</v>
      </c>
      <c r="AC6" s="9">
        <f>Y6*1.14</f>
        <v>16.50166101694915</v>
      </c>
      <c r="AD6" s="9">
        <f>Z6*1.16</f>
        <v>19.477750056497172</v>
      </c>
      <c r="AO6" s="1">
        <f t="shared" ref="AO6:AT6" si="21">AO17/AO3</f>
        <v>34.11349206349206</v>
      </c>
      <c r="AP6" s="1">
        <f t="shared" si="21"/>
        <v>42.458685868586862</v>
      </c>
      <c r="AQ6" s="1">
        <f t="shared" si="21"/>
        <v>40.071821305841922</v>
      </c>
      <c r="AR6" s="1">
        <f t="shared" si="21"/>
        <v>43.446376811594206</v>
      </c>
      <c r="AS6" s="1">
        <f t="shared" si="21"/>
        <v>50.038022813688215</v>
      </c>
      <c r="AT6" s="1">
        <f t="shared" si="21"/>
        <v>57.338025227415152</v>
      </c>
      <c r="AU6" s="1">
        <f>AT6*1.1</f>
        <v>63.071827750156672</v>
      </c>
      <c r="AV6" s="1">
        <f t="shared" ref="AV6" si="22">AU6*1.1</f>
        <v>69.379010525172347</v>
      </c>
      <c r="AW6" s="1">
        <f>AV6*1.05</f>
        <v>72.847961051430971</v>
      </c>
      <c r="AX6" s="1">
        <f t="shared" ref="AX6:BC6" si="23">AW6*1.05</f>
        <v>76.490359104002522</v>
      </c>
      <c r="AY6" s="1">
        <f t="shared" si="23"/>
        <v>80.314877059202658</v>
      </c>
      <c r="AZ6" s="1">
        <f t="shared" si="23"/>
        <v>84.3306209121628</v>
      </c>
      <c r="BA6" s="1">
        <f t="shared" si="23"/>
        <v>88.54715195777095</v>
      </c>
      <c r="BB6" s="1">
        <f t="shared" si="23"/>
        <v>92.974509555659495</v>
      </c>
      <c r="BC6" s="1">
        <f t="shared" si="23"/>
        <v>97.623235033442469</v>
      </c>
    </row>
    <row r="7" spans="2:56" x14ac:dyDescent="0.2">
      <c r="B7" s="5" t="s">
        <v>71</v>
      </c>
      <c r="D7" s="3"/>
      <c r="E7" s="3"/>
      <c r="F7" s="3"/>
      <c r="G7" s="3">
        <f t="shared" ref="G7:X7" si="24">G6/C6-1</f>
        <v>0.3398870838294159</v>
      </c>
      <c r="H7" s="3">
        <f t="shared" si="24"/>
        <v>0.39250858730745919</v>
      </c>
      <c r="I7" s="3">
        <f t="shared" si="24"/>
        <v>0.22135828027853144</v>
      </c>
      <c r="J7" s="3">
        <f t="shared" si="24"/>
        <v>0.10587718713177252</v>
      </c>
      <c r="K7" s="3">
        <f t="shared" si="24"/>
        <v>1.0637489137709455E-2</v>
      </c>
      <c r="L7" s="3">
        <f t="shared" si="24"/>
        <v>-5.0071075649711583E-2</v>
      </c>
      <c r="M7" s="3">
        <f t="shared" si="24"/>
        <v>-8.3800219531219633E-2</v>
      </c>
      <c r="N7" s="3">
        <f t="shared" si="24"/>
        <v>-8.9908751375592288E-2</v>
      </c>
      <c r="O7" s="3">
        <f t="shared" si="24"/>
        <v>-2.4572341287883326E-2</v>
      </c>
      <c r="P7" s="3">
        <f t="shared" si="24"/>
        <v>4.1517100242598692E-2</v>
      </c>
      <c r="Q7" s="3">
        <f t="shared" si="24"/>
        <v>0.14968428658697186</v>
      </c>
      <c r="R7" s="3">
        <f t="shared" si="24"/>
        <v>0.15712682499669839</v>
      </c>
      <c r="S7" s="3">
        <f t="shared" si="24"/>
        <v>0.18623356585188189</v>
      </c>
      <c r="T7" s="3">
        <f t="shared" si="24"/>
        <v>0.14632758496944631</v>
      </c>
      <c r="U7" s="3">
        <f t="shared" si="24"/>
        <v>0.13449416300502581</v>
      </c>
      <c r="V7" s="3">
        <f t="shared" si="24"/>
        <v>0.14866432217759895</v>
      </c>
      <c r="W7" s="3">
        <f t="shared" si="24"/>
        <v>9.6422323460410686E-2</v>
      </c>
      <c r="X7" s="3">
        <f t="shared" si="24"/>
        <v>0.14275690851050116</v>
      </c>
      <c r="Y7" s="3">
        <f>Y6/U6-1</f>
        <v>0.17330347358312692</v>
      </c>
      <c r="Z7" s="3">
        <f t="shared" ref="Z7:AD7" si="25">Z6/V6-1</f>
        <v>0.16255862085473782</v>
      </c>
      <c r="AA7" s="3">
        <f t="shared" si="25"/>
        <v>0.16999999999999993</v>
      </c>
      <c r="AB7" s="3">
        <f t="shared" si="25"/>
        <v>0.12999999999999989</v>
      </c>
      <c r="AC7" s="3">
        <f t="shared" si="25"/>
        <v>0.13999999999999968</v>
      </c>
      <c r="AD7" s="3">
        <f t="shared" si="25"/>
        <v>0.15999999999999992</v>
      </c>
      <c r="AO7" s="3"/>
      <c r="AP7" s="3">
        <f t="shared" ref="AP7:AS7" si="26">AP6/AO6-1</f>
        <v>0.24463030022147003</v>
      </c>
      <c r="AQ7" s="3">
        <f t="shared" si="26"/>
        <v>-5.6216166702202752E-2</v>
      </c>
      <c r="AR7" s="3">
        <f t="shared" si="26"/>
        <v>8.4212681025813918E-2</v>
      </c>
      <c r="AS7" s="3">
        <f t="shared" si="26"/>
        <v>0.15171911873523469</v>
      </c>
      <c r="AT7" s="3">
        <f>AT6/AS6-1</f>
        <v>0.14588910598861582</v>
      </c>
      <c r="AU7" s="3">
        <f>AU6/AT6-1</f>
        <v>0.10000000000000009</v>
      </c>
      <c r="AV7" s="3">
        <f t="shared" ref="AV7:BC7" si="27">AV6/AU6-1</f>
        <v>0.10000000000000009</v>
      </c>
      <c r="AW7" s="3">
        <f t="shared" si="27"/>
        <v>5.0000000000000044E-2</v>
      </c>
      <c r="AX7" s="3">
        <f t="shared" si="27"/>
        <v>5.0000000000000044E-2</v>
      </c>
      <c r="AY7" s="3">
        <f t="shared" si="27"/>
        <v>5.0000000000000044E-2</v>
      </c>
      <c r="AZ7" s="3">
        <f t="shared" si="27"/>
        <v>5.0000000000000044E-2</v>
      </c>
      <c r="BA7" s="3">
        <f t="shared" si="27"/>
        <v>5.0000000000000044E-2</v>
      </c>
      <c r="BB7" s="3">
        <f t="shared" si="27"/>
        <v>5.0000000000000044E-2</v>
      </c>
      <c r="BC7" s="3">
        <f t="shared" si="27"/>
        <v>5.0000000000000044E-2</v>
      </c>
    </row>
    <row r="8" spans="2:56" x14ac:dyDescent="0.2"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2:56" x14ac:dyDescent="0.2">
      <c r="B9" s="5" t="s">
        <v>72</v>
      </c>
      <c r="C9" s="1">
        <v>18321</v>
      </c>
      <c r="D9" s="1">
        <v>18321</v>
      </c>
      <c r="E9" s="1">
        <v>21221</v>
      </c>
      <c r="F9" s="1">
        <v>27187</v>
      </c>
      <c r="G9" s="1">
        <v>28580</v>
      </c>
      <c r="H9" s="1">
        <v>28580</v>
      </c>
      <c r="I9" s="1">
        <v>28276</v>
      </c>
      <c r="J9" s="1">
        <v>32639</v>
      </c>
      <c r="K9" s="1">
        <v>26998</v>
      </c>
      <c r="L9" s="1">
        <v>28152</v>
      </c>
      <c r="M9" s="1">
        <v>27237</v>
      </c>
      <c r="N9" s="1">
        <v>31254</v>
      </c>
      <c r="O9" s="1">
        <v>28101</v>
      </c>
      <c r="P9" s="1">
        <v>31498</v>
      </c>
      <c r="Q9" s="1">
        <v>33643</v>
      </c>
      <c r="R9" s="1">
        <v>38706</v>
      </c>
      <c r="S9" s="1">
        <v>35635</v>
      </c>
      <c r="T9" s="1">
        <v>38329</v>
      </c>
      <c r="U9" s="1">
        <v>39885</v>
      </c>
      <c r="V9" s="1">
        <v>46783</v>
      </c>
      <c r="W9" s="1">
        <v>41392</v>
      </c>
      <c r="X9" s="1">
        <v>46563</v>
      </c>
      <c r="Y9" s="1">
        <v>50082</v>
      </c>
      <c r="Z9" s="1">
        <f>V9*1.21</f>
        <v>56607.43</v>
      </c>
      <c r="AA9" s="3"/>
      <c r="AB9" s="3"/>
      <c r="AC9" s="3"/>
      <c r="AD9" s="3"/>
      <c r="AO9" s="1">
        <f>SUM(C9:F9)</f>
        <v>85050</v>
      </c>
      <c r="AP9" s="1">
        <f>SUM(G9:J9)</f>
        <v>118075</v>
      </c>
      <c r="AQ9" s="1">
        <f>SUM(K9:N9)</f>
        <v>113641</v>
      </c>
      <c r="AR9" s="1">
        <f>SUM(O9:R9)</f>
        <v>131948</v>
      </c>
      <c r="AS9" s="1">
        <f>SUM(S9:V9)</f>
        <v>160632</v>
      </c>
      <c r="AT9" s="1">
        <f>SUM(W9:Z9)</f>
        <v>194644.43</v>
      </c>
      <c r="AU9" s="3"/>
      <c r="AV9" s="3"/>
      <c r="AW9" s="3"/>
      <c r="AX9" s="3"/>
      <c r="AY9" s="3"/>
      <c r="AZ9" s="3"/>
      <c r="BA9" s="3"/>
      <c r="BB9" s="3"/>
      <c r="BC9" s="3"/>
    </row>
    <row r="10" spans="2:56" x14ac:dyDescent="0.2">
      <c r="B10" s="5" t="s">
        <v>73</v>
      </c>
      <c r="C10" s="1">
        <v>366</v>
      </c>
      <c r="D10" s="1">
        <v>366</v>
      </c>
      <c r="E10" s="1">
        <v>249</v>
      </c>
      <c r="F10" s="1">
        <v>168</v>
      </c>
      <c r="G10" s="1">
        <v>497</v>
      </c>
      <c r="H10" s="1">
        <v>497</v>
      </c>
      <c r="I10" s="1">
        <v>734</v>
      </c>
      <c r="J10" s="1">
        <v>155</v>
      </c>
      <c r="K10" s="1">
        <v>215</v>
      </c>
      <c r="L10" s="1">
        <v>218</v>
      </c>
      <c r="M10" s="1">
        <v>192</v>
      </c>
      <c r="N10" s="1">
        <v>184</v>
      </c>
      <c r="O10" s="1">
        <v>205</v>
      </c>
      <c r="P10" s="1">
        <v>225</v>
      </c>
      <c r="Q10" s="1">
        <v>293</v>
      </c>
      <c r="R10" s="1">
        <v>334</v>
      </c>
      <c r="S10" s="1">
        <v>380</v>
      </c>
      <c r="T10" s="1">
        <v>389</v>
      </c>
      <c r="U10" s="1">
        <v>434</v>
      </c>
      <c r="V10" s="1">
        <v>519</v>
      </c>
      <c r="W10" s="1">
        <v>510</v>
      </c>
      <c r="X10" s="1">
        <v>583</v>
      </c>
      <c r="Y10" s="1">
        <v>690</v>
      </c>
      <c r="Z10" s="1">
        <f>V10*1.21</f>
        <v>627.99</v>
      </c>
      <c r="AA10" s="3"/>
      <c r="AB10" s="3"/>
      <c r="AC10" s="3"/>
      <c r="AD10" s="3"/>
      <c r="AO10" s="1">
        <f>SUM(C10:F10)</f>
        <v>1149</v>
      </c>
      <c r="AP10" s="1">
        <f>SUM(G10:J10)</f>
        <v>1883</v>
      </c>
      <c r="AQ10" s="1">
        <f>SUM(K10:N10)</f>
        <v>809</v>
      </c>
      <c r="AR10" s="1">
        <f>SUM(O10:R10)</f>
        <v>1057</v>
      </c>
      <c r="AS10" s="1">
        <f>SUM(S10:V10)</f>
        <v>1722</v>
      </c>
      <c r="AT10" s="1">
        <f>SUM(W10:Z10)</f>
        <v>2410.9899999999998</v>
      </c>
      <c r="AU10" s="3"/>
    </row>
    <row r="11" spans="2:56" x14ac:dyDescent="0.2">
      <c r="B11" s="5" t="s">
        <v>74</v>
      </c>
      <c r="C11" s="1">
        <f t="shared" ref="C11:X11" si="28">SUM(C9:C10)</f>
        <v>18687</v>
      </c>
      <c r="D11" s="1">
        <f t="shared" si="28"/>
        <v>18687</v>
      </c>
      <c r="E11" s="1">
        <f t="shared" si="28"/>
        <v>21470</v>
      </c>
      <c r="F11" s="1">
        <f t="shared" si="28"/>
        <v>27355</v>
      </c>
      <c r="G11" s="1">
        <f t="shared" si="28"/>
        <v>29077</v>
      </c>
      <c r="H11" s="1">
        <f t="shared" si="28"/>
        <v>29077</v>
      </c>
      <c r="I11" s="1">
        <f t="shared" si="28"/>
        <v>29010</v>
      </c>
      <c r="J11" s="1">
        <f t="shared" si="28"/>
        <v>32794</v>
      </c>
      <c r="K11" s="1">
        <f t="shared" si="28"/>
        <v>27213</v>
      </c>
      <c r="L11" s="1">
        <f t="shared" si="28"/>
        <v>28370</v>
      </c>
      <c r="M11" s="1">
        <f t="shared" si="28"/>
        <v>27429</v>
      </c>
      <c r="N11" s="1">
        <f t="shared" si="28"/>
        <v>31438</v>
      </c>
      <c r="O11" s="1">
        <f t="shared" si="28"/>
        <v>28306</v>
      </c>
      <c r="P11" s="1">
        <f t="shared" si="28"/>
        <v>31723</v>
      </c>
      <c r="Q11" s="1">
        <f t="shared" si="28"/>
        <v>33936</v>
      </c>
      <c r="R11" s="1">
        <f t="shared" si="28"/>
        <v>39040</v>
      </c>
      <c r="S11" s="1">
        <f t="shared" si="28"/>
        <v>36015</v>
      </c>
      <c r="T11" s="1">
        <f t="shared" si="28"/>
        <v>38718</v>
      </c>
      <c r="U11" s="1">
        <f t="shared" si="28"/>
        <v>40319</v>
      </c>
      <c r="V11" s="1">
        <f t="shared" si="28"/>
        <v>47302</v>
      </c>
      <c r="W11" s="1">
        <f t="shared" si="28"/>
        <v>41902</v>
      </c>
      <c r="X11" s="1">
        <f t="shared" si="28"/>
        <v>47146</v>
      </c>
      <c r="Y11" s="1">
        <f>SUM(Y9:Y10)</f>
        <v>50772</v>
      </c>
      <c r="Z11" s="1">
        <f t="shared" ref="Z11" si="29">SUM(Z9:Z10)</f>
        <v>57235.42</v>
      </c>
      <c r="AA11" s="3"/>
      <c r="AB11" s="3"/>
      <c r="AC11" s="3"/>
      <c r="AD11" s="3"/>
      <c r="AO11" s="1">
        <f t="shared" ref="AO11:AS11" si="30">SUM(AO9:AO10)</f>
        <v>86199</v>
      </c>
      <c r="AP11" s="1">
        <f t="shared" si="30"/>
        <v>119958</v>
      </c>
      <c r="AQ11" s="1">
        <f t="shared" si="30"/>
        <v>114450</v>
      </c>
      <c r="AR11" s="1">
        <f t="shared" si="30"/>
        <v>133005</v>
      </c>
      <c r="AS11" s="1">
        <f t="shared" si="30"/>
        <v>162354</v>
      </c>
      <c r="AT11" s="1">
        <f>SUM(AT9:AT10)</f>
        <v>197055.41999999998</v>
      </c>
      <c r="AU11" s="3"/>
    </row>
    <row r="12" spans="2:56" x14ac:dyDescent="0.2">
      <c r="B12" s="5" t="s">
        <v>35</v>
      </c>
      <c r="C12" s="1">
        <v>0</v>
      </c>
      <c r="D12" s="1">
        <v>0</v>
      </c>
      <c r="E12" s="1">
        <v>0</v>
      </c>
      <c r="F12" s="1">
        <v>717</v>
      </c>
      <c r="G12" s="1">
        <v>0</v>
      </c>
      <c r="H12" s="1">
        <v>0</v>
      </c>
      <c r="I12" s="1">
        <v>0</v>
      </c>
      <c r="J12" s="1">
        <v>877</v>
      </c>
      <c r="K12" s="1">
        <v>695</v>
      </c>
      <c r="L12" s="1">
        <v>452</v>
      </c>
      <c r="M12" s="1">
        <v>285</v>
      </c>
      <c r="N12" s="1">
        <v>727</v>
      </c>
      <c r="O12" s="1">
        <v>339</v>
      </c>
      <c r="P12" s="1">
        <v>276</v>
      </c>
      <c r="Q12" s="1">
        <v>210</v>
      </c>
      <c r="R12" s="1">
        <v>1071</v>
      </c>
      <c r="S12" s="1">
        <v>440</v>
      </c>
      <c r="T12" s="1">
        <v>353</v>
      </c>
      <c r="U12" s="1">
        <v>270</v>
      </c>
      <c r="V12" s="1">
        <v>1083</v>
      </c>
      <c r="W12" s="1">
        <v>412</v>
      </c>
      <c r="X12" s="1">
        <v>370</v>
      </c>
      <c r="Y12" s="1">
        <v>470</v>
      </c>
      <c r="Z12" s="1">
        <f>V12*1.21</f>
        <v>1310.43</v>
      </c>
      <c r="AA12" s="3"/>
      <c r="AB12" s="3"/>
      <c r="AC12" s="3"/>
      <c r="AD12" s="3"/>
      <c r="AO12" s="1">
        <f t="shared" ref="AO12:AS12" si="31">SUM(R12:U12)</f>
        <v>2134</v>
      </c>
      <c r="AP12" s="1">
        <f t="shared" si="31"/>
        <v>2146</v>
      </c>
      <c r="AQ12" s="1">
        <f t="shared" si="31"/>
        <v>2118</v>
      </c>
      <c r="AR12" s="1">
        <f t="shared" si="31"/>
        <v>2135</v>
      </c>
      <c r="AS12" s="1">
        <f t="shared" si="31"/>
        <v>2335</v>
      </c>
      <c r="AT12" s="1">
        <f>SUM(W12:Z12)</f>
        <v>2562.4300000000003</v>
      </c>
      <c r="AU12" s="3"/>
    </row>
    <row r="13" spans="2:56" x14ac:dyDescent="0.2">
      <c r="AA13" s="3"/>
      <c r="AB13" s="3"/>
      <c r="AC13" s="3"/>
      <c r="AD13" s="3"/>
      <c r="AO13" s="3"/>
      <c r="AP13" s="3"/>
      <c r="AQ13" s="3"/>
      <c r="AR13" s="3"/>
      <c r="AS13" s="3"/>
      <c r="AT13" s="10"/>
      <c r="AU13" s="3"/>
    </row>
    <row r="14" spans="2:56" x14ac:dyDescent="0.2">
      <c r="B14" s="5" t="s">
        <v>75</v>
      </c>
      <c r="C14" s="3"/>
      <c r="D14" s="3"/>
      <c r="E14" s="3"/>
      <c r="F14" s="3"/>
      <c r="G14" s="3">
        <f t="shared" ref="G14:Z14" si="32">G11/C11-1</f>
        <v>0.5560014983678494</v>
      </c>
      <c r="H14" s="3">
        <f t="shared" si="32"/>
        <v>0.5560014983678494</v>
      </c>
      <c r="I14" s="3">
        <f t="shared" si="32"/>
        <v>0.35118770377270603</v>
      </c>
      <c r="J14" s="3">
        <f t="shared" si="32"/>
        <v>0.19883019557667692</v>
      </c>
      <c r="K14" s="3">
        <f t="shared" si="32"/>
        <v>-6.4105650514152068E-2</v>
      </c>
      <c r="L14" s="3">
        <f t="shared" si="32"/>
        <v>-2.431475049007803E-2</v>
      </c>
      <c r="M14" s="3">
        <f t="shared" si="32"/>
        <v>-5.449844881075494E-2</v>
      </c>
      <c r="N14" s="3">
        <f t="shared" si="32"/>
        <v>-4.1349027261084359E-2</v>
      </c>
      <c r="O14" s="3">
        <f t="shared" si="32"/>
        <v>4.016462720023517E-2</v>
      </c>
      <c r="P14" s="3">
        <f t="shared" si="32"/>
        <v>0.11818822700035247</v>
      </c>
      <c r="Q14" s="3">
        <f t="shared" si="32"/>
        <v>0.2372306682708083</v>
      </c>
      <c r="R14" s="3">
        <f t="shared" si="32"/>
        <v>0.2418092753991985</v>
      </c>
      <c r="S14" s="3">
        <f t="shared" si="32"/>
        <v>0.27234508584752359</v>
      </c>
      <c r="T14" s="3">
        <f t="shared" si="32"/>
        <v>0.2205024745452826</v>
      </c>
      <c r="U14" s="3">
        <f t="shared" si="32"/>
        <v>0.1880893446487506</v>
      </c>
      <c r="V14" s="3">
        <f t="shared" si="32"/>
        <v>0.21162909836065569</v>
      </c>
      <c r="W14" s="3">
        <f t="shared" si="32"/>
        <v>0.16345966958211866</v>
      </c>
      <c r="X14" s="3">
        <f t="shared" si="32"/>
        <v>0.21767653287876443</v>
      </c>
      <c r="Y14" s="3">
        <f t="shared" si="32"/>
        <v>0.25925742205907887</v>
      </c>
      <c r="Z14" s="3">
        <f t="shared" si="32"/>
        <v>0.20999999999999996</v>
      </c>
      <c r="AA14" s="3"/>
      <c r="AB14" s="3"/>
      <c r="AC14" s="3"/>
      <c r="AD14" s="3"/>
      <c r="AO14" s="3" t="e">
        <f t="shared" ref="AO14:AS14" si="33">AO11/AN11-1</f>
        <v>#DIV/0!</v>
      </c>
      <c r="AP14" s="3">
        <f t="shared" si="33"/>
        <v>0.39164027424912118</v>
      </c>
      <c r="AQ14" s="3">
        <f t="shared" si="33"/>
        <v>-4.5916070624718697E-2</v>
      </c>
      <c r="AR14" s="3">
        <f t="shared" si="33"/>
        <v>0.16212319790301444</v>
      </c>
      <c r="AS14" s="3">
        <f t="shared" si="33"/>
        <v>0.22066087741062357</v>
      </c>
      <c r="AT14" s="3">
        <f>AT11/AS11-1</f>
        <v>0.21373923648324022</v>
      </c>
      <c r="AU14" s="3"/>
    </row>
    <row r="15" spans="2:56" x14ac:dyDescent="0.2">
      <c r="B15" s="5" t="s">
        <v>76</v>
      </c>
      <c r="G15" s="3"/>
      <c r="H15" s="3"/>
      <c r="I15" s="3"/>
      <c r="J15" s="3">
        <f>J12/F12-1</f>
        <v>0.22315202231520215</v>
      </c>
      <c r="K15" s="3"/>
      <c r="L15" s="3"/>
      <c r="M15" s="3"/>
      <c r="N15" s="3">
        <f t="shared" ref="N15:Z15" si="34">N12/J12-1</f>
        <v>-0.17103762827822122</v>
      </c>
      <c r="O15" s="3">
        <f t="shared" si="34"/>
        <v>-0.51223021582733819</v>
      </c>
      <c r="P15" s="3">
        <f t="shared" si="34"/>
        <v>-0.38938053097345138</v>
      </c>
      <c r="Q15" s="3">
        <f t="shared" si="34"/>
        <v>-0.26315789473684215</v>
      </c>
      <c r="R15" s="3">
        <f t="shared" si="34"/>
        <v>0.47317744154057761</v>
      </c>
      <c r="S15" s="3">
        <f t="shared" si="34"/>
        <v>0.29793510324483785</v>
      </c>
      <c r="T15" s="3">
        <f t="shared" si="34"/>
        <v>0.27898550724637672</v>
      </c>
      <c r="U15" s="3">
        <f t="shared" si="34"/>
        <v>0.28571428571428581</v>
      </c>
      <c r="V15" s="3">
        <f t="shared" si="34"/>
        <v>1.1204481792717047E-2</v>
      </c>
      <c r="W15" s="3">
        <f t="shared" si="34"/>
        <v>-6.3636363636363602E-2</v>
      </c>
      <c r="X15" s="3">
        <f t="shared" si="34"/>
        <v>4.8158640226628968E-2</v>
      </c>
      <c r="Y15" s="3">
        <f t="shared" si="34"/>
        <v>0.7407407407407407</v>
      </c>
      <c r="Z15" s="3">
        <f t="shared" si="34"/>
        <v>0.20999999999999996</v>
      </c>
      <c r="AA15" s="3"/>
      <c r="AB15" s="3"/>
      <c r="AC15" s="3"/>
      <c r="AD15" s="3"/>
      <c r="AO15" s="3" t="e">
        <f t="shared" ref="AO15" si="35">AO11/AN11-1</f>
        <v>#DIV/0!</v>
      </c>
      <c r="AP15" s="3">
        <f t="shared" ref="AP15:AS15" si="36">AP12/AO12-1</f>
        <v>5.623242736644718E-3</v>
      </c>
      <c r="AQ15" s="3">
        <f t="shared" si="36"/>
        <v>-1.3047530288909592E-2</v>
      </c>
      <c r="AR15" s="3">
        <f t="shared" si="36"/>
        <v>8.0264400377714207E-3</v>
      </c>
      <c r="AS15" s="3">
        <f t="shared" si="36"/>
        <v>9.3676814988290502E-2</v>
      </c>
      <c r="AT15" s="3">
        <f>AT12/AS12-1</f>
        <v>9.7400428265524752E-2</v>
      </c>
      <c r="AU15" s="3"/>
    </row>
    <row r="16" spans="2:56" x14ac:dyDescent="0.2">
      <c r="Z16" s="3"/>
      <c r="AA16" s="3"/>
      <c r="AB16" s="3"/>
      <c r="AC16" s="3"/>
      <c r="AD16" s="3"/>
      <c r="AO16" s="3"/>
      <c r="AP16" s="3"/>
      <c r="AQ16" s="3"/>
      <c r="AR16" s="3"/>
      <c r="AS16" s="3"/>
      <c r="AT16" s="10"/>
      <c r="AU16" s="3"/>
    </row>
    <row r="17" spans="2:141" x14ac:dyDescent="0.2">
      <c r="B17" s="4" t="s">
        <v>77</v>
      </c>
      <c r="C17" s="2">
        <v>17737</v>
      </c>
      <c r="D17" s="2">
        <v>18687</v>
      </c>
      <c r="E17" s="2">
        <v>21470</v>
      </c>
      <c r="F17" s="2">
        <v>28072</v>
      </c>
      <c r="G17" s="2">
        <v>26171</v>
      </c>
      <c r="H17" s="2">
        <v>29077</v>
      </c>
      <c r="I17" s="2">
        <v>29010</v>
      </c>
      <c r="J17" s="2">
        <v>33671</v>
      </c>
      <c r="K17" s="2">
        <v>27908</v>
      </c>
      <c r="L17" s="2">
        <v>28822</v>
      </c>
      <c r="M17" s="2">
        <v>27714</v>
      </c>
      <c r="N17" s="2">
        <v>32165</v>
      </c>
      <c r="O17" s="2">
        <v>28645</v>
      </c>
      <c r="P17" s="2">
        <v>31999</v>
      </c>
      <c r="Q17" s="2">
        <v>34146</v>
      </c>
      <c r="R17" s="2">
        <v>40111</v>
      </c>
      <c r="S17" s="2">
        <v>36455</v>
      </c>
      <c r="T17" s="2">
        <v>39071</v>
      </c>
      <c r="U17" s="2">
        <v>40589</v>
      </c>
      <c r="V17" s="2">
        <v>48385</v>
      </c>
      <c r="W17" s="2">
        <v>42314</v>
      </c>
      <c r="X17" s="2">
        <f>47516</f>
        <v>47516</v>
      </c>
      <c r="Y17" s="2">
        <v>51242</v>
      </c>
      <c r="Z17" s="2">
        <f>Z3*Z6</f>
        <v>59625.422802259884</v>
      </c>
      <c r="AA17" s="2">
        <f>AA3*AA6</f>
        <v>52477.822799999994</v>
      </c>
      <c r="AB17" s="2">
        <f>AB3*AB6</f>
        <v>56914.664800000006</v>
      </c>
      <c r="AC17" s="2">
        <f>AC3*AC6</f>
        <v>62504.991599999994</v>
      </c>
      <c r="AD17" s="2">
        <f>AD3*AD6</f>
        <v>73315.419877658758</v>
      </c>
      <c r="AO17" s="2">
        <f>SUM(C17:F17)</f>
        <v>85966</v>
      </c>
      <c r="AP17" s="2">
        <f>SUM(G17:J17)</f>
        <v>117929</v>
      </c>
      <c r="AQ17" s="2">
        <f>SUM(K17:N17)</f>
        <v>116609</v>
      </c>
      <c r="AR17" s="2">
        <f>SUM(O17:R17)</f>
        <v>134901</v>
      </c>
      <c r="AS17" s="2">
        <f>SUM(S17:V17)</f>
        <v>164500</v>
      </c>
      <c r="AT17" s="2">
        <f>SUM(W17:Z17)</f>
        <v>200697.42280225988</v>
      </c>
      <c r="AU17" s="2">
        <f>SUM(AA17:AD17)</f>
        <v>245212.89907765877</v>
      </c>
      <c r="AV17" s="2">
        <f t="shared" ref="AV17:BC17" si="37">AV3*AV6</f>
        <v>272859.38535534934</v>
      </c>
      <c r="AW17" s="2">
        <f t="shared" si="37"/>
        <v>295097.42526181036</v>
      </c>
      <c r="AX17" s="2">
        <f t="shared" si="37"/>
        <v>319147.86542064796</v>
      </c>
      <c r="AY17" s="2">
        <f t="shared" si="37"/>
        <v>345158.41645243083</v>
      </c>
      <c r="AZ17" s="2">
        <f>AZ3*AZ6</f>
        <v>373288.82739330397</v>
      </c>
      <c r="BA17" s="2">
        <f t="shared" si="37"/>
        <v>403711.86682585825</v>
      </c>
      <c r="BB17" s="2">
        <f t="shared" si="37"/>
        <v>436614.3839721657</v>
      </c>
      <c r="BC17" s="2">
        <f t="shared" si="37"/>
        <v>472198.4562658972</v>
      </c>
    </row>
    <row r="18" spans="2:141" x14ac:dyDescent="0.2">
      <c r="B18" s="5" t="s">
        <v>78</v>
      </c>
      <c r="C18" s="1">
        <v>3459</v>
      </c>
      <c r="D18" s="1">
        <v>3829</v>
      </c>
      <c r="E18" s="1">
        <v>4194</v>
      </c>
      <c r="F18" s="1">
        <v>5210</v>
      </c>
      <c r="G18" s="1">
        <v>5131</v>
      </c>
      <c r="H18" s="1">
        <v>5399</v>
      </c>
      <c r="I18" s="1">
        <v>5771</v>
      </c>
      <c r="J18" s="1">
        <v>6348</v>
      </c>
      <c r="K18" s="1">
        <v>6005</v>
      </c>
      <c r="L18" s="1">
        <v>5192</v>
      </c>
      <c r="M18" s="1">
        <v>5716</v>
      </c>
      <c r="N18" s="1">
        <v>8336</v>
      </c>
      <c r="O18" s="1">
        <v>6108</v>
      </c>
      <c r="P18" s="1">
        <v>5945</v>
      </c>
      <c r="Q18" s="1">
        <v>6210</v>
      </c>
      <c r="R18" s="1">
        <v>7695</v>
      </c>
      <c r="S18" s="1">
        <v>6640</v>
      </c>
      <c r="T18" s="1">
        <v>7308</v>
      </c>
      <c r="U18" s="1">
        <v>7375</v>
      </c>
      <c r="V18" s="1">
        <v>8839</v>
      </c>
      <c r="W18" s="1">
        <v>7572</v>
      </c>
      <c r="X18" s="1">
        <v>8491</v>
      </c>
      <c r="Y18" s="1">
        <v>9206</v>
      </c>
      <c r="Z18" s="1">
        <f>V18*1.082</f>
        <v>9563.7980000000007</v>
      </c>
      <c r="AA18" s="1">
        <f>Z18*1.082</f>
        <v>10348.029436000001</v>
      </c>
      <c r="AB18" s="1">
        <f t="shared" ref="AB18:AD18" si="38">AA18*1.082</f>
        <v>11196.567849752002</v>
      </c>
      <c r="AC18" s="1">
        <f t="shared" si="38"/>
        <v>12114.686413431667</v>
      </c>
      <c r="AD18" s="1">
        <f t="shared" si="38"/>
        <v>13108.090699333065</v>
      </c>
      <c r="AO18" s="1">
        <v>9206</v>
      </c>
      <c r="AP18" s="1">
        <f>SUM(G18:J18)</f>
        <v>22649</v>
      </c>
      <c r="AQ18" s="1">
        <f>SUM(K18:N18)</f>
        <v>25249</v>
      </c>
      <c r="AR18" s="1">
        <f>SUM(O18:R18)</f>
        <v>25958</v>
      </c>
      <c r="AS18" s="1">
        <f>SUM(S18:V18)</f>
        <v>30162</v>
      </c>
      <c r="AT18" s="1">
        <f>SUM(W18:Z18)</f>
        <v>34832.798000000003</v>
      </c>
      <c r="AU18" s="1">
        <f>SUM(AA18:AD18)</f>
        <v>46767.374398516731</v>
      </c>
      <c r="AV18" s="1">
        <f>AU18*1.08</f>
        <v>50508.764350398073</v>
      </c>
      <c r="AW18" s="1">
        <f t="shared" ref="AW18:BC18" si="39">AV18*1.08</f>
        <v>54549.46549842992</v>
      </c>
      <c r="AX18" s="1">
        <f t="shared" si="39"/>
        <v>58913.422738304318</v>
      </c>
      <c r="AY18" s="1">
        <f t="shared" si="39"/>
        <v>63626.496557368664</v>
      </c>
      <c r="AZ18" s="1">
        <f t="shared" si="39"/>
        <v>68716.616281958166</v>
      </c>
      <c r="BA18" s="1">
        <f t="shared" si="39"/>
        <v>74213.945584514819</v>
      </c>
      <c r="BB18" s="1">
        <f t="shared" si="39"/>
        <v>80151.061231276006</v>
      </c>
      <c r="BC18" s="1">
        <f t="shared" si="39"/>
        <v>86563.146129778092</v>
      </c>
    </row>
    <row r="19" spans="2:141" x14ac:dyDescent="0.2">
      <c r="B19" s="5" t="s">
        <v>79</v>
      </c>
      <c r="C19" s="1">
        <f t="shared" ref="C19:AD19" si="40">C17-C18</f>
        <v>14278</v>
      </c>
      <c r="D19" s="1">
        <f t="shared" si="40"/>
        <v>14858</v>
      </c>
      <c r="E19" s="1">
        <f t="shared" si="40"/>
        <v>17276</v>
      </c>
      <c r="F19" s="1">
        <f t="shared" si="40"/>
        <v>22862</v>
      </c>
      <c r="G19" s="1">
        <f t="shared" si="40"/>
        <v>21040</v>
      </c>
      <c r="H19" s="1">
        <f t="shared" si="40"/>
        <v>23678</v>
      </c>
      <c r="I19" s="1">
        <f t="shared" si="40"/>
        <v>23239</v>
      </c>
      <c r="J19" s="1">
        <f t="shared" si="40"/>
        <v>27323</v>
      </c>
      <c r="K19" s="1">
        <f t="shared" si="40"/>
        <v>21903</v>
      </c>
      <c r="L19" s="1">
        <f t="shared" si="40"/>
        <v>23630</v>
      </c>
      <c r="M19" s="1">
        <f t="shared" si="40"/>
        <v>21998</v>
      </c>
      <c r="N19" s="1">
        <f t="shared" si="40"/>
        <v>23829</v>
      </c>
      <c r="O19" s="1">
        <f t="shared" si="40"/>
        <v>22537</v>
      </c>
      <c r="P19" s="1">
        <f t="shared" si="40"/>
        <v>26054</v>
      </c>
      <c r="Q19" s="1">
        <f t="shared" si="40"/>
        <v>27936</v>
      </c>
      <c r="R19" s="1">
        <f t="shared" si="40"/>
        <v>32416</v>
      </c>
      <c r="S19" s="1">
        <f t="shared" si="40"/>
        <v>29815</v>
      </c>
      <c r="T19" s="1">
        <f t="shared" si="40"/>
        <v>31763</v>
      </c>
      <c r="U19" s="1">
        <f t="shared" si="40"/>
        <v>33214</v>
      </c>
      <c r="V19" s="1">
        <f t="shared" si="40"/>
        <v>39546</v>
      </c>
      <c r="W19" s="1">
        <f t="shared" si="40"/>
        <v>34742</v>
      </c>
      <c r="X19" s="1">
        <f t="shared" si="40"/>
        <v>39025</v>
      </c>
      <c r="Y19" s="1">
        <f t="shared" si="40"/>
        <v>42036</v>
      </c>
      <c r="Z19" s="1">
        <f t="shared" si="40"/>
        <v>50061.624802259881</v>
      </c>
      <c r="AA19" s="1">
        <f t="shared" si="40"/>
        <v>42129.793363999997</v>
      </c>
      <c r="AB19" s="1">
        <f t="shared" si="40"/>
        <v>45718.096950248</v>
      </c>
      <c r="AC19" s="1">
        <f t="shared" si="40"/>
        <v>50390.305186568323</v>
      </c>
      <c r="AD19" s="1">
        <f t="shared" si="40"/>
        <v>60207.329178325694</v>
      </c>
      <c r="AO19" s="1">
        <f t="shared" ref="AO19:BC19" si="41">AO17-AO18</f>
        <v>76760</v>
      </c>
      <c r="AP19" s="1">
        <f t="shared" si="41"/>
        <v>95280</v>
      </c>
      <c r="AQ19" s="1">
        <f t="shared" si="41"/>
        <v>91360</v>
      </c>
      <c r="AR19" s="1">
        <f t="shared" si="41"/>
        <v>108943</v>
      </c>
      <c r="AS19" s="1">
        <f t="shared" si="41"/>
        <v>134338</v>
      </c>
      <c r="AT19" s="1">
        <f t="shared" si="41"/>
        <v>165864.62480225987</v>
      </c>
      <c r="AU19" s="1">
        <f t="shared" si="41"/>
        <v>198445.52467914205</v>
      </c>
      <c r="AV19" s="1">
        <f t="shared" si="41"/>
        <v>222350.62100495127</v>
      </c>
      <c r="AW19" s="1">
        <f t="shared" si="41"/>
        <v>240547.95976338044</v>
      </c>
      <c r="AX19" s="1">
        <f t="shared" si="41"/>
        <v>260234.44268234365</v>
      </c>
      <c r="AY19" s="1">
        <f t="shared" si="41"/>
        <v>281531.91989506216</v>
      </c>
      <c r="AZ19" s="1">
        <f t="shared" si="41"/>
        <v>304572.21111134579</v>
      </c>
      <c r="BA19" s="1">
        <f t="shared" si="41"/>
        <v>329497.92124134343</v>
      </c>
      <c r="BB19" s="1">
        <f t="shared" si="41"/>
        <v>356463.32274088968</v>
      </c>
      <c r="BC19" s="1">
        <f t="shared" si="41"/>
        <v>385635.31013611914</v>
      </c>
    </row>
    <row r="20" spans="2:141" x14ac:dyDescent="0.2">
      <c r="B20" s="5" t="s">
        <v>80</v>
      </c>
      <c r="C20" s="1">
        <v>4015</v>
      </c>
      <c r="D20" s="1">
        <v>4462</v>
      </c>
      <c r="E20" s="1">
        <v>4763</v>
      </c>
      <c r="F20" s="1">
        <v>5208</v>
      </c>
      <c r="G20" s="1">
        <v>5197</v>
      </c>
      <c r="H20" s="1">
        <v>6096</v>
      </c>
      <c r="I20" s="1">
        <v>6316</v>
      </c>
      <c r="J20" s="1">
        <v>7046</v>
      </c>
      <c r="K20" s="1">
        <v>7707</v>
      </c>
      <c r="L20" s="1">
        <v>8690</v>
      </c>
      <c r="M20" s="1">
        <v>9170</v>
      </c>
      <c r="N20" s="1">
        <v>9771</v>
      </c>
      <c r="O20" s="1">
        <v>9381</v>
      </c>
      <c r="P20" s="1">
        <v>9344</v>
      </c>
      <c r="Q20" s="1">
        <v>9241</v>
      </c>
      <c r="R20" s="1">
        <v>10517</v>
      </c>
      <c r="S20" s="1">
        <v>9978</v>
      </c>
      <c r="T20" s="1">
        <v>10537</v>
      </c>
      <c r="U20" s="1">
        <v>11177</v>
      </c>
      <c r="V20" s="1">
        <v>12180</v>
      </c>
      <c r="W20" s="1">
        <v>12150</v>
      </c>
      <c r="X20" s="1">
        <v>12942</v>
      </c>
      <c r="Y20" s="1">
        <v>15144</v>
      </c>
      <c r="Z20" s="1">
        <f t="shared" ref="Z20:Z22" si="42">V20*1.05</f>
        <v>12789</v>
      </c>
      <c r="AA20" s="1">
        <f t="shared" ref="AA20:AA22" si="43">W20*1.05</f>
        <v>12757.5</v>
      </c>
      <c r="AB20" s="1">
        <f t="shared" ref="AB20:AB22" si="44">X20*1.05</f>
        <v>13589.1</v>
      </c>
      <c r="AC20" s="1">
        <f t="shared" ref="AC20:AC22" si="45">Y20*1.05</f>
        <v>15901.2</v>
      </c>
      <c r="AD20" s="1">
        <f t="shared" ref="AD20:AD22" si="46">Z20*1.05</f>
        <v>13428.45</v>
      </c>
      <c r="AO20" s="1">
        <f>SUM(C20:F20)</f>
        <v>18448</v>
      </c>
      <c r="AP20" s="1">
        <f>SUM(G20:J20)</f>
        <v>24655</v>
      </c>
      <c r="AQ20" s="1">
        <f>SUM(K20:N20)</f>
        <v>35338</v>
      </c>
      <c r="AR20" s="1">
        <f>SUM(O20:R20)</f>
        <v>38483</v>
      </c>
      <c r="AS20" s="1">
        <f>SUM(S20:V20)</f>
        <v>43872</v>
      </c>
      <c r="AT20" s="1">
        <f>SUM(W20:Z20)</f>
        <v>53025</v>
      </c>
      <c r="AU20" s="1">
        <f>SUM(AA20:AD20)</f>
        <v>55676.25</v>
      </c>
      <c r="AV20" s="1">
        <f>AU20*1.1</f>
        <v>61243.875000000007</v>
      </c>
      <c r="AW20" s="1">
        <f t="shared" ref="AW20:AY20" si="47">AV20*1.1</f>
        <v>67368.262500000012</v>
      </c>
      <c r="AX20" s="1">
        <f t="shared" si="47"/>
        <v>74105.088750000024</v>
      </c>
      <c r="AY20" s="1">
        <f t="shared" si="47"/>
        <v>81515.597625000039</v>
      </c>
      <c r="AZ20" s="1">
        <f>AY20*1.1</f>
        <v>89667.157387500047</v>
      </c>
      <c r="BA20" s="1">
        <f t="shared" ref="BA20:BC20" si="48">AZ20*1.1</f>
        <v>98633.873126250066</v>
      </c>
      <c r="BB20" s="1">
        <f t="shared" si="48"/>
        <v>108497.26043887508</v>
      </c>
      <c r="BC20" s="1">
        <f t="shared" si="48"/>
        <v>119346.9864827626</v>
      </c>
    </row>
    <row r="21" spans="2:141" x14ac:dyDescent="0.2">
      <c r="B21" s="5" t="s">
        <v>81</v>
      </c>
      <c r="C21" s="1">
        <v>2787</v>
      </c>
      <c r="D21" s="1">
        <v>2840</v>
      </c>
      <c r="E21" s="1">
        <v>2683</v>
      </c>
      <c r="F21" s="1">
        <v>3280</v>
      </c>
      <c r="G21" s="1">
        <v>2843</v>
      </c>
      <c r="H21" s="1">
        <v>3259</v>
      </c>
      <c r="I21" s="1">
        <v>3554</v>
      </c>
      <c r="J21" s="1">
        <v>4387</v>
      </c>
      <c r="K21" s="1">
        <v>3312</v>
      </c>
      <c r="L21" s="1">
        <v>3595</v>
      </c>
      <c r="M21" s="1">
        <v>3780</v>
      </c>
      <c r="N21" s="1">
        <v>4574</v>
      </c>
      <c r="O21" s="1">
        <v>3044</v>
      </c>
      <c r="P21" s="1">
        <v>3154</v>
      </c>
      <c r="Q21" s="1">
        <v>2877</v>
      </c>
      <c r="R21" s="1">
        <v>3226</v>
      </c>
      <c r="S21" s="1">
        <v>2564</v>
      </c>
      <c r="T21" s="1">
        <v>2721</v>
      </c>
      <c r="U21" s="1">
        <v>2822</v>
      </c>
      <c r="V21" s="1">
        <v>3240</v>
      </c>
      <c r="W21" s="1">
        <v>2757</v>
      </c>
      <c r="X21" s="1">
        <v>2979</v>
      </c>
      <c r="Y21" s="1">
        <v>2845</v>
      </c>
      <c r="Z21" s="1">
        <f t="shared" si="42"/>
        <v>3402</v>
      </c>
      <c r="AA21" s="1">
        <f t="shared" si="43"/>
        <v>2894.85</v>
      </c>
      <c r="AB21" s="1">
        <f t="shared" si="44"/>
        <v>3127.9500000000003</v>
      </c>
      <c r="AC21" s="1">
        <f t="shared" si="45"/>
        <v>2987.25</v>
      </c>
      <c r="AD21" s="1">
        <f t="shared" si="46"/>
        <v>3572.1000000000004</v>
      </c>
      <c r="AO21" s="1">
        <f>SUM(C21:F21)</f>
        <v>11590</v>
      </c>
      <c r="AP21" s="1">
        <f>SUM(G21:J21)</f>
        <v>14043</v>
      </c>
      <c r="AQ21" s="1">
        <f>SUM(K21:N21)</f>
        <v>15261</v>
      </c>
      <c r="AR21" s="1">
        <f>SUM(O21:R21)</f>
        <v>12301</v>
      </c>
      <c r="AS21" s="1">
        <f>SUM(S21:V21)</f>
        <v>11347</v>
      </c>
      <c r="AT21" s="1">
        <f>SUM(W21:Z21)</f>
        <v>11983</v>
      </c>
      <c r="AU21" s="1">
        <f>SUM(AA21:AD21)</f>
        <v>12582.15</v>
      </c>
      <c r="AV21" s="1">
        <f>AU21*1.05</f>
        <v>13211.2575</v>
      </c>
      <c r="AW21" s="1">
        <f t="shared" ref="AW21:AY21" si="49">AV21*1.05</f>
        <v>13871.820375000001</v>
      </c>
      <c r="AX21" s="1">
        <f t="shared" si="49"/>
        <v>14565.411393750002</v>
      </c>
      <c r="AY21" s="1">
        <f t="shared" si="49"/>
        <v>15293.681963437502</v>
      </c>
      <c r="AZ21" s="1">
        <f>AY21*1.05</f>
        <v>16058.366061609378</v>
      </c>
      <c r="BA21" s="1">
        <f t="shared" ref="BA21:BC21" si="50">AZ21*1.05</f>
        <v>16861.284364689847</v>
      </c>
      <c r="BB21" s="1">
        <f t="shared" si="50"/>
        <v>17704.34858292434</v>
      </c>
      <c r="BC21" s="1">
        <f t="shared" si="50"/>
        <v>18589.566012070558</v>
      </c>
    </row>
    <row r="22" spans="2:141" x14ac:dyDescent="0.2">
      <c r="B22" s="5" t="s">
        <v>82</v>
      </c>
      <c r="C22" s="1">
        <v>1583</v>
      </c>
      <c r="D22" s="1">
        <v>1593</v>
      </c>
      <c r="E22" s="1">
        <v>1790</v>
      </c>
      <c r="F22" s="1">
        <v>1599</v>
      </c>
      <c r="G22" s="1">
        <v>1622</v>
      </c>
      <c r="H22" s="1">
        <v>1956</v>
      </c>
      <c r="I22" s="1">
        <v>2946</v>
      </c>
      <c r="J22" s="1">
        <v>3305</v>
      </c>
      <c r="K22" s="1">
        <v>2360</v>
      </c>
      <c r="L22" s="1">
        <v>2987</v>
      </c>
      <c r="M22" s="1">
        <v>3384</v>
      </c>
      <c r="N22" s="1">
        <v>3085</v>
      </c>
      <c r="O22" s="1">
        <v>2885</v>
      </c>
      <c r="P22" s="1">
        <v>4164</v>
      </c>
      <c r="Q22" s="1">
        <v>2070</v>
      </c>
      <c r="R22" s="1">
        <v>2289</v>
      </c>
      <c r="S22" s="1">
        <v>3455</v>
      </c>
      <c r="T22" s="1">
        <v>3658</v>
      </c>
      <c r="U22" s="1">
        <v>1865</v>
      </c>
      <c r="V22" s="1">
        <v>761</v>
      </c>
      <c r="W22" s="1">
        <v>2280</v>
      </c>
      <c r="X22" s="1">
        <v>2663</v>
      </c>
      <c r="Y22" s="1">
        <v>3512</v>
      </c>
      <c r="Z22" s="1">
        <f t="shared" si="42"/>
        <v>799.05000000000007</v>
      </c>
      <c r="AA22" s="1">
        <f t="shared" si="43"/>
        <v>2394</v>
      </c>
      <c r="AB22" s="1">
        <f t="shared" si="44"/>
        <v>2796.15</v>
      </c>
      <c r="AC22" s="1">
        <f t="shared" si="45"/>
        <v>3687.6000000000004</v>
      </c>
      <c r="AD22" s="1">
        <f t="shared" si="46"/>
        <v>839.00250000000005</v>
      </c>
      <c r="AO22" s="1">
        <f>SUM(C22:F22)</f>
        <v>6565</v>
      </c>
      <c r="AP22" s="1">
        <f>SUM(G22:J22)</f>
        <v>9829</v>
      </c>
      <c r="AQ22" s="1">
        <f>SUM(K22:N22)</f>
        <v>11816</v>
      </c>
      <c r="AR22" s="1">
        <f>SUM(O22:R22)</f>
        <v>11408</v>
      </c>
      <c r="AS22" s="1">
        <f>SUM(S22:V22)</f>
        <v>9739</v>
      </c>
      <c r="AT22" s="1">
        <f>SUM(W22:Z22)</f>
        <v>9254.0499999999993</v>
      </c>
      <c r="AU22" s="1">
        <f>SUM(AA22:AD22)</f>
        <v>9716.7525000000005</v>
      </c>
      <c r="AV22" s="1">
        <f t="shared" ref="AV22:AY22" si="51">AU22*1.05</f>
        <v>10202.590125000001</v>
      </c>
      <c r="AW22" s="1">
        <f t="shared" si="51"/>
        <v>10712.719631250002</v>
      </c>
      <c r="AX22" s="1">
        <f t="shared" si="51"/>
        <v>11248.355612812502</v>
      </c>
      <c r="AY22" s="1">
        <f t="shared" si="51"/>
        <v>11810.773393453128</v>
      </c>
      <c r="AZ22" s="1">
        <f t="shared" ref="AZ22:BC22" si="52">AY22*1.05</f>
        <v>12401.312063125784</v>
      </c>
      <c r="BA22" s="1">
        <f t="shared" si="52"/>
        <v>13021.377666282075</v>
      </c>
      <c r="BB22" s="1">
        <f t="shared" si="52"/>
        <v>13672.446549596179</v>
      </c>
      <c r="BC22" s="1">
        <f t="shared" si="52"/>
        <v>14356.06887707599</v>
      </c>
    </row>
    <row r="23" spans="2:141" x14ac:dyDescent="0.2">
      <c r="B23" s="5" t="s">
        <v>83</v>
      </c>
      <c r="C23" s="1">
        <f t="shared" ref="C23:Y23" si="53">SUM(C20:C22)</f>
        <v>8385</v>
      </c>
      <c r="D23" s="1">
        <f t="shared" si="53"/>
        <v>8895</v>
      </c>
      <c r="E23" s="1">
        <f t="shared" si="53"/>
        <v>9236</v>
      </c>
      <c r="F23" s="1">
        <f t="shared" si="53"/>
        <v>10087</v>
      </c>
      <c r="G23" s="1">
        <f t="shared" si="53"/>
        <v>9662</v>
      </c>
      <c r="H23" s="1">
        <f t="shared" si="53"/>
        <v>11311</v>
      </c>
      <c r="I23" s="1">
        <f t="shared" si="53"/>
        <v>12816</v>
      </c>
      <c r="J23" s="1">
        <f t="shared" si="53"/>
        <v>14738</v>
      </c>
      <c r="K23" s="1">
        <f t="shared" si="53"/>
        <v>13379</v>
      </c>
      <c r="L23" s="1">
        <f t="shared" si="53"/>
        <v>15272</v>
      </c>
      <c r="M23" s="1">
        <f t="shared" si="53"/>
        <v>16334</v>
      </c>
      <c r="N23" s="1">
        <f t="shared" si="53"/>
        <v>17430</v>
      </c>
      <c r="O23" s="1">
        <f t="shared" si="53"/>
        <v>15310</v>
      </c>
      <c r="P23" s="1">
        <f t="shared" si="53"/>
        <v>16662</v>
      </c>
      <c r="Q23" s="1">
        <f t="shared" si="53"/>
        <v>14188</v>
      </c>
      <c r="R23" s="1">
        <f t="shared" si="53"/>
        <v>16032</v>
      </c>
      <c r="S23" s="1">
        <f t="shared" si="53"/>
        <v>15997</v>
      </c>
      <c r="T23" s="1">
        <f t="shared" si="53"/>
        <v>16916</v>
      </c>
      <c r="U23" s="1">
        <f t="shared" si="53"/>
        <v>15864</v>
      </c>
      <c r="V23" s="1">
        <f t="shared" si="53"/>
        <v>16181</v>
      </c>
      <c r="W23" s="1">
        <f t="shared" si="53"/>
        <v>17187</v>
      </c>
      <c r="X23" s="1">
        <f t="shared" si="53"/>
        <v>18584</v>
      </c>
      <c r="Y23" s="1">
        <f t="shared" si="53"/>
        <v>21501</v>
      </c>
      <c r="Z23" s="1">
        <f t="shared" ref="Z23:AD23" si="54">SUM(Z20:Z22)</f>
        <v>16990.05</v>
      </c>
      <c r="AA23" s="1">
        <f t="shared" si="54"/>
        <v>18046.349999999999</v>
      </c>
      <c r="AB23" s="1">
        <f t="shared" si="54"/>
        <v>19513.2</v>
      </c>
      <c r="AC23" s="1">
        <f t="shared" si="54"/>
        <v>22576.050000000003</v>
      </c>
      <c r="AD23" s="1">
        <f t="shared" si="54"/>
        <v>17839.552500000002</v>
      </c>
      <c r="AO23" s="1">
        <f t="shared" ref="AO23:AY23" si="55">SUM(AO20:AO22)</f>
        <v>36603</v>
      </c>
      <c r="AP23" s="1">
        <f t="shared" si="55"/>
        <v>48527</v>
      </c>
      <c r="AQ23" s="1">
        <f t="shared" si="55"/>
        <v>62415</v>
      </c>
      <c r="AR23" s="1">
        <f t="shared" si="55"/>
        <v>62192</v>
      </c>
      <c r="AS23" s="1">
        <f t="shared" si="55"/>
        <v>64958</v>
      </c>
      <c r="AT23" s="1">
        <f t="shared" si="55"/>
        <v>74262.05</v>
      </c>
      <c r="AU23" s="1">
        <f t="shared" si="55"/>
        <v>77975.152499999997</v>
      </c>
      <c r="AV23" s="1">
        <f t="shared" si="55"/>
        <v>84657.722625000009</v>
      </c>
      <c r="AW23" s="1">
        <f t="shared" si="55"/>
        <v>91952.802506250009</v>
      </c>
      <c r="AX23" s="1">
        <f t="shared" si="55"/>
        <v>99918.855756562538</v>
      </c>
      <c r="AY23" s="1">
        <f t="shared" si="55"/>
        <v>108620.05298189067</v>
      </c>
      <c r="AZ23" s="1">
        <f t="shared" ref="AZ23:BC23" si="56">SUM(AZ20:AZ22)</f>
        <v>118126.83551223521</v>
      </c>
      <c r="BA23" s="1">
        <f t="shared" si="56"/>
        <v>128516.535157222</v>
      </c>
      <c r="BB23" s="1">
        <f t="shared" si="56"/>
        <v>139874.05557139561</v>
      </c>
      <c r="BC23" s="1">
        <f t="shared" si="56"/>
        <v>152292.62137190916</v>
      </c>
    </row>
    <row r="24" spans="2:141" x14ac:dyDescent="0.2">
      <c r="B24" s="5" t="s">
        <v>84</v>
      </c>
      <c r="C24" s="1">
        <f t="shared" ref="C24:Y24" si="57">C19-C23</f>
        <v>5893</v>
      </c>
      <c r="D24" s="1">
        <f t="shared" si="57"/>
        <v>5963</v>
      </c>
      <c r="E24" s="1">
        <f t="shared" si="57"/>
        <v>8040</v>
      </c>
      <c r="F24" s="1">
        <f t="shared" si="57"/>
        <v>12775</v>
      </c>
      <c r="G24" s="1">
        <f t="shared" si="57"/>
        <v>11378</v>
      </c>
      <c r="H24" s="1">
        <f t="shared" si="57"/>
        <v>12367</v>
      </c>
      <c r="I24" s="1">
        <f t="shared" si="57"/>
        <v>10423</v>
      </c>
      <c r="J24" s="1">
        <f t="shared" si="57"/>
        <v>12585</v>
      </c>
      <c r="K24" s="1">
        <f t="shared" si="57"/>
        <v>8524</v>
      </c>
      <c r="L24" s="1">
        <f t="shared" si="57"/>
        <v>8358</v>
      </c>
      <c r="M24" s="1">
        <f t="shared" si="57"/>
        <v>5664</v>
      </c>
      <c r="N24" s="1">
        <f t="shared" si="57"/>
        <v>6399</v>
      </c>
      <c r="O24" s="1">
        <f t="shared" si="57"/>
        <v>7227</v>
      </c>
      <c r="P24" s="1">
        <f t="shared" si="57"/>
        <v>9392</v>
      </c>
      <c r="Q24" s="1">
        <f t="shared" si="57"/>
        <v>13748</v>
      </c>
      <c r="R24" s="1">
        <f t="shared" si="57"/>
        <v>16384</v>
      </c>
      <c r="S24" s="1">
        <f t="shared" si="57"/>
        <v>13818</v>
      </c>
      <c r="T24" s="1">
        <f t="shared" si="57"/>
        <v>14847</v>
      </c>
      <c r="U24" s="1">
        <f t="shared" si="57"/>
        <v>17350</v>
      </c>
      <c r="V24" s="1">
        <f t="shared" si="57"/>
        <v>23365</v>
      </c>
      <c r="W24" s="1">
        <f t="shared" si="57"/>
        <v>17555</v>
      </c>
      <c r="X24" s="1">
        <f t="shared" si="57"/>
        <v>20441</v>
      </c>
      <c r="Y24" s="1">
        <f t="shared" si="57"/>
        <v>20535</v>
      </c>
      <c r="Z24" s="1">
        <f t="shared" ref="Z24:AD24" si="58">Z19-Z23</f>
        <v>33071.574802259885</v>
      </c>
      <c r="AA24" s="1">
        <f t="shared" si="58"/>
        <v>24083.443363999999</v>
      </c>
      <c r="AB24" s="1">
        <f t="shared" si="58"/>
        <v>26204.896950247999</v>
      </c>
      <c r="AC24" s="1">
        <f t="shared" si="58"/>
        <v>27814.25518656832</v>
      </c>
      <c r="AD24" s="1">
        <f t="shared" si="58"/>
        <v>42367.776678325696</v>
      </c>
      <c r="AO24" s="1">
        <f t="shared" ref="AO24:AP24" si="59">AO19-AO23</f>
        <v>40157</v>
      </c>
      <c r="AP24" s="1">
        <f t="shared" si="59"/>
        <v>46753</v>
      </c>
      <c r="AQ24" s="1">
        <f t="shared" ref="AQ24:AR24" si="60">AQ19-AQ23</f>
        <v>28945</v>
      </c>
      <c r="AR24" s="1">
        <f t="shared" si="60"/>
        <v>46751</v>
      </c>
      <c r="AS24" s="1">
        <f t="shared" ref="AS24:AT24" si="61">AS19-AS23</f>
        <v>69380</v>
      </c>
      <c r="AT24" s="1">
        <f t="shared" si="61"/>
        <v>91602.574802259871</v>
      </c>
      <c r="AU24" s="1">
        <f t="shared" ref="AU24:AY24" si="62">AU19-AU23</f>
        <v>120470.37217914205</v>
      </c>
      <c r="AV24" s="1">
        <f t="shared" si="62"/>
        <v>137692.89837995125</v>
      </c>
      <c r="AW24" s="1">
        <f t="shared" si="62"/>
        <v>148595.15725713043</v>
      </c>
      <c r="AX24" s="1">
        <f t="shared" si="62"/>
        <v>160315.5869257811</v>
      </c>
      <c r="AY24" s="1">
        <f t="shared" si="62"/>
        <v>172911.86691317149</v>
      </c>
      <c r="AZ24" s="1">
        <f t="shared" ref="AZ24:BC24" si="63">AZ19-AZ23</f>
        <v>186445.37559911059</v>
      </c>
      <c r="BA24" s="1">
        <f t="shared" si="63"/>
        <v>200981.38608412142</v>
      </c>
      <c r="BB24" s="1">
        <f t="shared" si="63"/>
        <v>216589.26716949407</v>
      </c>
      <c r="BC24" s="1">
        <f t="shared" si="63"/>
        <v>233342.68876420998</v>
      </c>
    </row>
    <row r="25" spans="2:141" x14ac:dyDescent="0.2">
      <c r="B25" s="5" t="s">
        <v>85</v>
      </c>
      <c r="C25" s="1">
        <v>-32</v>
      </c>
      <c r="D25" s="1">
        <v>168</v>
      </c>
      <c r="E25" s="1">
        <v>93</v>
      </c>
      <c r="F25" s="1">
        <v>280</v>
      </c>
      <c r="G25" s="1">
        <v>125</v>
      </c>
      <c r="H25" s="1">
        <v>146</v>
      </c>
      <c r="I25" s="1">
        <v>142</v>
      </c>
      <c r="J25" s="1">
        <v>117</v>
      </c>
      <c r="K25" s="1">
        <v>384</v>
      </c>
      <c r="L25" s="1">
        <v>-172</v>
      </c>
      <c r="M25" s="1">
        <v>-88</v>
      </c>
      <c r="N25" s="1">
        <v>-250</v>
      </c>
      <c r="O25" s="1">
        <v>80</v>
      </c>
      <c r="P25" s="1">
        <v>-99</v>
      </c>
      <c r="Q25" s="1">
        <v>272</v>
      </c>
      <c r="R25" s="1">
        <v>424</v>
      </c>
      <c r="S25" s="1">
        <v>365</v>
      </c>
      <c r="T25" s="1">
        <v>259</v>
      </c>
      <c r="U25" s="1">
        <v>472</v>
      </c>
      <c r="V25" s="1">
        <v>188</v>
      </c>
      <c r="W25" s="1">
        <v>827</v>
      </c>
      <c r="X25" s="1">
        <v>93</v>
      </c>
      <c r="Y25" s="1">
        <v>1128</v>
      </c>
      <c r="Z25" s="1">
        <f>V25*1.03</f>
        <v>193.64000000000001</v>
      </c>
      <c r="AA25" s="1">
        <f t="shared" ref="AA25:AD25" si="64">W25*1.03</f>
        <v>851.81000000000006</v>
      </c>
      <c r="AB25" s="1">
        <f t="shared" si="64"/>
        <v>95.79</v>
      </c>
      <c r="AC25" s="1">
        <f t="shared" si="64"/>
        <v>1161.8399999999999</v>
      </c>
      <c r="AD25" s="1">
        <f t="shared" si="64"/>
        <v>199.44920000000002</v>
      </c>
      <c r="AO25" s="1">
        <f>SUM(C25:F25)</f>
        <v>509</v>
      </c>
      <c r="AP25" s="1">
        <f>SUM(G25:J25)</f>
        <v>530</v>
      </c>
      <c r="AQ25" s="1">
        <f>SUM(K25:N25)</f>
        <v>-126</v>
      </c>
      <c r="AR25" s="1">
        <f>SUM(O25:R25)</f>
        <v>677</v>
      </c>
      <c r="AS25" s="1">
        <f>SUM(S25:V25)</f>
        <v>1284</v>
      </c>
      <c r="AT25" s="1">
        <f>SUM(W25:Z25)</f>
        <v>2241.64</v>
      </c>
      <c r="AU25" s="1">
        <f>+AT42*$BE$36</f>
        <v>2096.4214440677965</v>
      </c>
      <c r="AV25" s="1">
        <f t="shared" ref="AV25:BB25" si="65">+AU42*$BE$36</f>
        <v>5038.6159071073425</v>
      </c>
      <c r="AW25" s="1">
        <f t="shared" si="65"/>
        <v>8512.2710554966761</v>
      </c>
      <c r="AX25" s="1">
        <f t="shared" si="65"/>
        <v>12336.374596630822</v>
      </c>
      <c r="AY25" s="1">
        <f t="shared" si="65"/>
        <v>16537.902203234044</v>
      </c>
      <c r="AZ25" s="1">
        <f t="shared" si="65"/>
        <v>21145.560913750163</v>
      </c>
      <c r="BA25" s="1">
        <f t="shared" si="65"/>
        <v>26189.871209862333</v>
      </c>
      <c r="BB25" s="1">
        <f t="shared" si="65"/>
        <v>31703.24934948083</v>
      </c>
      <c r="BC25" s="1">
        <f>+BB42*$BE$36</f>
        <v>37720.08930792896</v>
      </c>
    </row>
    <row r="26" spans="2:141" x14ac:dyDescent="0.2">
      <c r="B26" s="5" t="s">
        <v>86</v>
      </c>
      <c r="C26" s="1">
        <f t="shared" ref="C26:AD26" si="66">SUM(C24:C25)</f>
        <v>5861</v>
      </c>
      <c r="D26" s="1">
        <f t="shared" si="66"/>
        <v>6131</v>
      </c>
      <c r="E26" s="1">
        <f t="shared" si="66"/>
        <v>8133</v>
      </c>
      <c r="F26" s="1">
        <f t="shared" si="66"/>
        <v>13055</v>
      </c>
      <c r="G26" s="1">
        <f t="shared" si="66"/>
        <v>11503</v>
      </c>
      <c r="H26" s="1">
        <f t="shared" si="66"/>
        <v>12513</v>
      </c>
      <c r="I26" s="1">
        <f t="shared" si="66"/>
        <v>10565</v>
      </c>
      <c r="J26" s="1">
        <f t="shared" si="66"/>
        <v>12702</v>
      </c>
      <c r="K26" s="1">
        <f t="shared" si="66"/>
        <v>8908</v>
      </c>
      <c r="L26" s="1">
        <f t="shared" si="66"/>
        <v>8186</v>
      </c>
      <c r="M26" s="1">
        <f t="shared" si="66"/>
        <v>5576</v>
      </c>
      <c r="N26" s="1">
        <f t="shared" si="66"/>
        <v>6149</v>
      </c>
      <c r="O26" s="1">
        <f t="shared" si="66"/>
        <v>7307</v>
      </c>
      <c r="P26" s="1">
        <f t="shared" si="66"/>
        <v>9293</v>
      </c>
      <c r="Q26" s="1">
        <f t="shared" si="66"/>
        <v>14020</v>
      </c>
      <c r="R26" s="1">
        <f t="shared" si="66"/>
        <v>16808</v>
      </c>
      <c r="S26" s="1">
        <f t="shared" si="66"/>
        <v>14183</v>
      </c>
      <c r="T26" s="1">
        <f t="shared" si="66"/>
        <v>15106</v>
      </c>
      <c r="U26" s="1">
        <f t="shared" si="66"/>
        <v>17822</v>
      </c>
      <c r="V26" s="1">
        <f t="shared" si="66"/>
        <v>23553</v>
      </c>
      <c r="W26" s="1">
        <f t="shared" si="66"/>
        <v>18382</v>
      </c>
      <c r="X26" s="1">
        <f t="shared" si="66"/>
        <v>20534</v>
      </c>
      <c r="Y26" s="1">
        <f t="shared" si="66"/>
        <v>21663</v>
      </c>
      <c r="Z26" s="1">
        <f t="shared" si="66"/>
        <v>33265.214802259885</v>
      </c>
      <c r="AA26" s="1">
        <f t="shared" si="66"/>
        <v>24935.253364</v>
      </c>
      <c r="AB26" s="1">
        <f t="shared" si="66"/>
        <v>26300.686950248</v>
      </c>
      <c r="AC26" s="1">
        <f t="shared" si="66"/>
        <v>28976.09518656832</v>
      </c>
      <c r="AD26" s="1">
        <f t="shared" si="66"/>
        <v>42567.225878325698</v>
      </c>
      <c r="AO26" s="1">
        <f t="shared" ref="AO26:AY26" si="67">SUM(AO24:AO25)</f>
        <v>40666</v>
      </c>
      <c r="AP26" s="1">
        <f t="shared" si="67"/>
        <v>47283</v>
      </c>
      <c r="AQ26" s="1">
        <f t="shared" si="67"/>
        <v>28819</v>
      </c>
      <c r="AR26" s="1">
        <f t="shared" si="67"/>
        <v>47428</v>
      </c>
      <c r="AS26" s="1">
        <f t="shared" si="67"/>
        <v>70664</v>
      </c>
      <c r="AT26" s="1">
        <f t="shared" si="67"/>
        <v>93844.21480225987</v>
      </c>
      <c r="AU26" s="1">
        <f t="shared" si="67"/>
        <v>122566.79362320984</v>
      </c>
      <c r="AV26" s="1">
        <f t="shared" si="67"/>
        <v>142731.51428705858</v>
      </c>
      <c r="AW26" s="1">
        <f t="shared" si="67"/>
        <v>157107.4283126271</v>
      </c>
      <c r="AX26" s="1">
        <f t="shared" si="67"/>
        <v>172651.96152241193</v>
      </c>
      <c r="AY26" s="1">
        <f t="shared" si="67"/>
        <v>189449.76911640551</v>
      </c>
      <c r="AZ26" s="1">
        <f t="shared" ref="AZ26:BC26" si="68">SUM(AZ24:AZ25)</f>
        <v>207590.93651286076</v>
      </c>
      <c r="BA26" s="1">
        <f t="shared" si="68"/>
        <v>227171.25729398374</v>
      </c>
      <c r="BB26" s="1">
        <f t="shared" si="68"/>
        <v>248292.51651897491</v>
      </c>
      <c r="BC26" s="1">
        <f t="shared" si="68"/>
        <v>271062.77807213896</v>
      </c>
    </row>
    <row r="27" spans="2:141" x14ac:dyDescent="0.2">
      <c r="B27" s="5" t="s">
        <v>87</v>
      </c>
      <c r="C27" s="1">
        <v>959</v>
      </c>
      <c r="D27" s="1">
        <v>953</v>
      </c>
      <c r="E27" s="1">
        <v>287</v>
      </c>
      <c r="F27" s="1">
        <v>1836</v>
      </c>
      <c r="G27" s="1">
        <v>2006</v>
      </c>
      <c r="H27" s="1">
        <v>2119</v>
      </c>
      <c r="I27" s="1">
        <v>1371</v>
      </c>
      <c r="J27" s="1">
        <v>2417</v>
      </c>
      <c r="K27" s="1">
        <v>1443</v>
      </c>
      <c r="L27" s="1">
        <v>1499</v>
      </c>
      <c r="M27" s="1">
        <v>1181</v>
      </c>
      <c r="N27" s="1">
        <v>1497</v>
      </c>
      <c r="O27" s="1">
        <v>1598</v>
      </c>
      <c r="P27" s="1">
        <v>1505</v>
      </c>
      <c r="Q27" s="1">
        <v>2437</v>
      </c>
      <c r="R27" s="1">
        <v>2791</v>
      </c>
      <c r="S27" s="1">
        <v>1814</v>
      </c>
      <c r="T27" s="1">
        <v>1641</v>
      </c>
      <c r="U27" s="1">
        <v>2134</v>
      </c>
      <c r="V27" s="1">
        <v>2715</v>
      </c>
      <c r="W27" s="1">
        <v>1738</v>
      </c>
      <c r="X27" s="1">
        <v>2197</v>
      </c>
      <c r="Y27" s="1">
        <v>18954</v>
      </c>
      <c r="Z27" s="1">
        <f>V27*1.5</f>
        <v>4072.5</v>
      </c>
      <c r="AA27" s="1">
        <f>Z27*1.17</f>
        <v>4764.8249999999998</v>
      </c>
      <c r="AB27" s="1">
        <f t="shared" ref="AB27:AD27" si="69">AA27*1.17</f>
        <v>5574.8452499999994</v>
      </c>
      <c r="AC27" s="1">
        <f t="shared" si="69"/>
        <v>6522.5689424999991</v>
      </c>
      <c r="AD27" s="1">
        <f t="shared" si="69"/>
        <v>7631.4056627249984</v>
      </c>
      <c r="AO27" s="1">
        <f>SUM(C27:F27)</f>
        <v>4035</v>
      </c>
      <c r="AP27" s="1">
        <f>SUM(G27:J27)</f>
        <v>7913</v>
      </c>
      <c r="AQ27" s="1">
        <f>SUM(K27:N27)</f>
        <v>5620</v>
      </c>
      <c r="AR27" s="1">
        <f>SUM(O27:R27)</f>
        <v>8331</v>
      </c>
      <c r="AS27" s="1">
        <f>SUM(S27:V27)</f>
        <v>8304</v>
      </c>
      <c r="AT27" s="1">
        <f>SUM(W27:Z27)</f>
        <v>26961.5</v>
      </c>
      <c r="AU27" s="1">
        <f>SUM(AA27:AD27)</f>
        <v>24493.644855224997</v>
      </c>
      <c r="AV27" s="1">
        <f>AU27*1.1</f>
        <v>26943.0093407475</v>
      </c>
      <c r="AW27" s="1">
        <f t="shared" ref="AW27:BC27" si="70">AV27*1.1</f>
        <v>29637.310274822252</v>
      </c>
      <c r="AX27" s="1">
        <f t="shared" si="70"/>
        <v>32601.041302304478</v>
      </c>
      <c r="AY27" s="1">
        <f t="shared" si="70"/>
        <v>35861.145432534926</v>
      </c>
      <c r="AZ27" s="1">
        <f t="shared" si="70"/>
        <v>39447.259975788424</v>
      </c>
      <c r="BA27" s="1">
        <f t="shared" si="70"/>
        <v>43391.985973367271</v>
      </c>
      <c r="BB27" s="1">
        <f t="shared" si="70"/>
        <v>47731.184570704005</v>
      </c>
      <c r="BC27" s="1">
        <f t="shared" si="70"/>
        <v>52504.303027774411</v>
      </c>
    </row>
    <row r="28" spans="2:141" x14ac:dyDescent="0.2">
      <c r="B28" s="5" t="s">
        <v>88</v>
      </c>
      <c r="C28" s="1">
        <f t="shared" ref="C28:X28" si="71">C26-C27</f>
        <v>4902</v>
      </c>
      <c r="D28" s="1">
        <f t="shared" si="71"/>
        <v>5178</v>
      </c>
      <c r="E28" s="1">
        <f t="shared" si="71"/>
        <v>7846</v>
      </c>
      <c r="F28" s="1">
        <f t="shared" si="71"/>
        <v>11219</v>
      </c>
      <c r="G28" s="1">
        <f t="shared" si="71"/>
        <v>9497</v>
      </c>
      <c r="H28" s="1">
        <f t="shared" si="71"/>
        <v>10394</v>
      </c>
      <c r="I28" s="1">
        <f t="shared" si="71"/>
        <v>9194</v>
      </c>
      <c r="J28" s="1">
        <f t="shared" si="71"/>
        <v>10285</v>
      </c>
      <c r="K28" s="1">
        <f t="shared" si="71"/>
        <v>7465</v>
      </c>
      <c r="L28" s="1">
        <f t="shared" si="71"/>
        <v>6687</v>
      </c>
      <c r="M28" s="1">
        <f t="shared" si="71"/>
        <v>4395</v>
      </c>
      <c r="N28" s="1">
        <f t="shared" si="71"/>
        <v>4652</v>
      </c>
      <c r="O28" s="1">
        <f t="shared" si="71"/>
        <v>5709</v>
      </c>
      <c r="P28" s="1">
        <f t="shared" si="71"/>
        <v>7788</v>
      </c>
      <c r="Q28" s="1">
        <f t="shared" si="71"/>
        <v>11583</v>
      </c>
      <c r="R28" s="1">
        <f t="shared" si="71"/>
        <v>14017</v>
      </c>
      <c r="S28" s="1">
        <f t="shared" si="71"/>
        <v>12369</v>
      </c>
      <c r="T28" s="1">
        <f t="shared" si="71"/>
        <v>13465</v>
      </c>
      <c r="U28" s="1">
        <f t="shared" si="71"/>
        <v>15688</v>
      </c>
      <c r="V28" s="1">
        <f t="shared" si="71"/>
        <v>20838</v>
      </c>
      <c r="W28" s="1">
        <f t="shared" si="71"/>
        <v>16644</v>
      </c>
      <c r="X28" s="1">
        <f t="shared" si="71"/>
        <v>18337</v>
      </c>
      <c r="Y28" s="1">
        <f>Y26-Y27</f>
        <v>2709</v>
      </c>
      <c r="Z28" s="1">
        <f t="shared" ref="Z28:AD28" si="72">Z26-Z27</f>
        <v>29192.714802259885</v>
      </c>
      <c r="AA28" s="1">
        <f t="shared" si="72"/>
        <v>20170.428363999999</v>
      </c>
      <c r="AB28" s="1">
        <f t="shared" si="72"/>
        <v>20725.841700248002</v>
      </c>
      <c r="AC28" s="1">
        <f t="shared" si="72"/>
        <v>22453.526244068322</v>
      </c>
      <c r="AD28" s="1">
        <f t="shared" si="72"/>
        <v>34935.820215600703</v>
      </c>
      <c r="AO28" s="1">
        <f t="shared" ref="AO28:BC28" si="73">AO26-AO27</f>
        <v>36631</v>
      </c>
      <c r="AP28" s="1">
        <f t="shared" si="73"/>
        <v>39370</v>
      </c>
      <c r="AQ28" s="1">
        <f t="shared" si="73"/>
        <v>23199</v>
      </c>
      <c r="AR28" s="1">
        <f t="shared" si="73"/>
        <v>39097</v>
      </c>
      <c r="AS28" s="1">
        <f t="shared" si="73"/>
        <v>62360</v>
      </c>
      <c r="AT28" s="1">
        <f t="shared" si="73"/>
        <v>66882.71480225987</v>
      </c>
      <c r="AU28" s="1">
        <f t="shared" si="73"/>
        <v>98073.148767984851</v>
      </c>
      <c r="AV28" s="1">
        <f t="shared" si="73"/>
        <v>115788.50494631109</v>
      </c>
      <c r="AW28" s="1">
        <f t="shared" si="73"/>
        <v>127470.11803780484</v>
      </c>
      <c r="AX28" s="1">
        <f t="shared" si="73"/>
        <v>140050.92022010745</v>
      </c>
      <c r="AY28" s="1">
        <f t="shared" si="73"/>
        <v>153588.6236838706</v>
      </c>
      <c r="AZ28" s="1">
        <f t="shared" si="73"/>
        <v>168143.67653707234</v>
      </c>
      <c r="BA28" s="1">
        <f t="shared" si="73"/>
        <v>183779.27132061648</v>
      </c>
      <c r="BB28" s="1">
        <f t="shared" si="73"/>
        <v>200561.3319482709</v>
      </c>
      <c r="BC28" s="1">
        <f t="shared" si="73"/>
        <v>218558.47504436455</v>
      </c>
      <c r="BD28" s="1">
        <f t="shared" ref="BD28:CI28" si="74">+BC28*(1+$BE$35)</f>
        <v>216372.89029392091</v>
      </c>
      <c r="BE28" s="1">
        <f t="shared" si="74"/>
        <v>214209.1613909817</v>
      </c>
      <c r="BF28" s="1">
        <f t="shared" si="74"/>
        <v>212067.06977707188</v>
      </c>
      <c r="BG28" s="1">
        <f t="shared" si="74"/>
        <v>209946.39907930116</v>
      </c>
      <c r="BH28" s="1">
        <f t="shared" si="74"/>
        <v>207846.93508850815</v>
      </c>
      <c r="BI28" s="1">
        <f t="shared" si="74"/>
        <v>205768.46573762308</v>
      </c>
      <c r="BJ28" s="1">
        <f t="shared" si="74"/>
        <v>203710.78108024684</v>
      </c>
      <c r="BK28" s="1">
        <f t="shared" si="74"/>
        <v>201673.67326944438</v>
      </c>
      <c r="BL28" s="1">
        <f t="shared" si="74"/>
        <v>199656.93653674994</v>
      </c>
      <c r="BM28" s="1">
        <f t="shared" si="74"/>
        <v>197660.36717138244</v>
      </c>
      <c r="BN28" s="1">
        <f t="shared" si="74"/>
        <v>195683.76349966862</v>
      </c>
      <c r="BO28" s="1">
        <f t="shared" si="74"/>
        <v>193726.92586467194</v>
      </c>
      <c r="BP28" s="1">
        <f t="shared" si="74"/>
        <v>191789.65660602521</v>
      </c>
      <c r="BQ28" s="1">
        <f t="shared" si="74"/>
        <v>189871.76003996495</v>
      </c>
      <c r="BR28" s="1">
        <f t="shared" si="74"/>
        <v>187973.0424395653</v>
      </c>
      <c r="BS28" s="1">
        <f t="shared" si="74"/>
        <v>186093.31201516965</v>
      </c>
      <c r="BT28" s="1">
        <f t="shared" si="74"/>
        <v>184232.37889501796</v>
      </c>
      <c r="BU28" s="1">
        <f t="shared" si="74"/>
        <v>182390.05510606777</v>
      </c>
      <c r="BV28" s="1">
        <f t="shared" si="74"/>
        <v>180566.15455500709</v>
      </c>
      <c r="BW28" s="1">
        <f t="shared" si="74"/>
        <v>178760.49300945702</v>
      </c>
      <c r="BX28" s="1">
        <f t="shared" si="74"/>
        <v>176972.88807936246</v>
      </c>
      <c r="BY28" s="1">
        <f t="shared" si="74"/>
        <v>175203.15919856884</v>
      </c>
      <c r="BZ28" s="1">
        <f t="shared" si="74"/>
        <v>173451.12760658315</v>
      </c>
      <c r="CA28" s="1">
        <f t="shared" si="74"/>
        <v>171716.61633051731</v>
      </c>
      <c r="CB28" s="1">
        <f t="shared" si="74"/>
        <v>169999.45016721214</v>
      </c>
      <c r="CC28" s="1">
        <f t="shared" si="74"/>
        <v>168299.45566554001</v>
      </c>
      <c r="CD28" s="1">
        <f t="shared" si="74"/>
        <v>166616.4611088846</v>
      </c>
      <c r="CE28" s="1">
        <f t="shared" si="74"/>
        <v>164950.29649779576</v>
      </c>
      <c r="CF28" s="1">
        <f t="shared" si="74"/>
        <v>163300.7935328178</v>
      </c>
      <c r="CG28" s="1">
        <f t="shared" si="74"/>
        <v>161667.78559748962</v>
      </c>
      <c r="CH28" s="1">
        <f t="shared" si="74"/>
        <v>160051.10774151472</v>
      </c>
      <c r="CI28" s="1">
        <f t="shared" si="74"/>
        <v>158450.59666409958</v>
      </c>
      <c r="CJ28" s="1">
        <f t="shared" ref="CJ28:DO28" si="75">+CI28*(1+$BE$35)</f>
        <v>156866.09069745857</v>
      </c>
      <c r="CK28" s="1">
        <f t="shared" si="75"/>
        <v>155297.42979048399</v>
      </c>
      <c r="CL28" s="1">
        <f t="shared" si="75"/>
        <v>153744.45549257915</v>
      </c>
      <c r="CM28" s="1">
        <f t="shared" si="75"/>
        <v>152207.01093765337</v>
      </c>
      <c r="CN28" s="1">
        <f t="shared" si="75"/>
        <v>150684.94082827683</v>
      </c>
      <c r="CO28" s="1">
        <f t="shared" si="75"/>
        <v>149178.09141999405</v>
      </c>
      <c r="CP28" s="1">
        <f t="shared" si="75"/>
        <v>147686.3105057941</v>
      </c>
      <c r="CQ28" s="1">
        <f t="shared" si="75"/>
        <v>146209.44740073616</v>
      </c>
      <c r="CR28" s="1">
        <f t="shared" si="75"/>
        <v>144747.35292672878</v>
      </c>
      <c r="CS28" s="1">
        <f t="shared" si="75"/>
        <v>143299.87939746148</v>
      </c>
      <c r="CT28" s="1">
        <f t="shared" si="75"/>
        <v>141866.88060348688</v>
      </c>
      <c r="CU28" s="1">
        <f t="shared" si="75"/>
        <v>140448.21179745201</v>
      </c>
      <c r="CV28" s="1">
        <f t="shared" si="75"/>
        <v>139043.72967947749</v>
      </c>
      <c r="CW28" s="1">
        <f t="shared" si="75"/>
        <v>137653.2923826827</v>
      </c>
      <c r="CX28" s="1">
        <f t="shared" si="75"/>
        <v>136276.75945885587</v>
      </c>
      <c r="CY28" s="1">
        <f t="shared" si="75"/>
        <v>134913.9918642673</v>
      </c>
      <c r="CZ28" s="1">
        <f t="shared" si="75"/>
        <v>133564.85194562463</v>
      </c>
      <c r="DA28" s="1">
        <f t="shared" si="75"/>
        <v>132229.20342616839</v>
      </c>
      <c r="DB28" s="1">
        <f t="shared" si="75"/>
        <v>130906.9113919067</v>
      </c>
      <c r="DC28" s="1">
        <f t="shared" si="75"/>
        <v>129597.84227798763</v>
      </c>
      <c r="DD28" s="1">
        <f t="shared" si="75"/>
        <v>128301.86385520775</v>
      </c>
      <c r="DE28" s="1">
        <f t="shared" si="75"/>
        <v>127018.84521665567</v>
      </c>
      <c r="DF28" s="1">
        <f t="shared" si="75"/>
        <v>125748.6567644891</v>
      </c>
      <c r="DG28" s="1">
        <f t="shared" si="75"/>
        <v>124491.17019684421</v>
      </c>
      <c r="DH28" s="1">
        <f t="shared" si="75"/>
        <v>123246.25849487576</v>
      </c>
      <c r="DI28" s="1">
        <f t="shared" si="75"/>
        <v>122013.79590992699</v>
      </c>
      <c r="DJ28" s="1">
        <f t="shared" si="75"/>
        <v>120793.65795082772</v>
      </c>
      <c r="DK28" s="1">
        <f t="shared" si="75"/>
        <v>119585.72137131944</v>
      </c>
      <c r="DL28" s="1">
        <f t="shared" si="75"/>
        <v>118389.86415760624</v>
      </c>
      <c r="DM28" s="1">
        <f t="shared" si="75"/>
        <v>117205.96551603018</v>
      </c>
      <c r="DN28" s="1">
        <f t="shared" si="75"/>
        <v>116033.90586086987</v>
      </c>
      <c r="DO28" s="1">
        <f t="shared" si="75"/>
        <v>114873.56680226116</v>
      </c>
      <c r="DP28" s="1">
        <f t="shared" ref="DP28:EK28" si="76">+DO28*(1+$BE$35)</f>
        <v>113724.83113423856</v>
      </c>
      <c r="DQ28" s="1">
        <f t="shared" si="76"/>
        <v>112587.58282289618</v>
      </c>
      <c r="DR28" s="1">
        <f t="shared" si="76"/>
        <v>111461.70699466721</v>
      </c>
      <c r="DS28" s="1">
        <f t="shared" si="76"/>
        <v>110347.08992472054</v>
      </c>
      <c r="DT28" s="1">
        <f t="shared" si="76"/>
        <v>109243.61902547334</v>
      </c>
      <c r="DU28" s="1">
        <f t="shared" si="76"/>
        <v>108151.1828352186</v>
      </c>
      <c r="DV28" s="1">
        <f t="shared" si="76"/>
        <v>107069.67100686641</v>
      </c>
      <c r="DW28" s="1">
        <f t="shared" si="76"/>
        <v>105998.97429679775</v>
      </c>
      <c r="DX28" s="1">
        <f t="shared" si="76"/>
        <v>104938.98455382977</v>
      </c>
      <c r="DY28" s="1">
        <f t="shared" si="76"/>
        <v>103889.59470829146</v>
      </c>
      <c r="DZ28" s="1">
        <f t="shared" si="76"/>
        <v>102850.69876120855</v>
      </c>
      <c r="EA28" s="1">
        <f t="shared" si="76"/>
        <v>101822.19177359647</v>
      </c>
      <c r="EB28" s="1">
        <f t="shared" si="76"/>
        <v>100803.9698558605</v>
      </c>
      <c r="EC28" s="1">
        <f t="shared" si="76"/>
        <v>99795.930157301889</v>
      </c>
      <c r="ED28" s="1">
        <f t="shared" si="76"/>
        <v>98797.970855728869</v>
      </c>
      <c r="EE28" s="1">
        <f t="shared" si="76"/>
        <v>97809.991147171575</v>
      </c>
      <c r="EF28" s="1">
        <f t="shared" si="76"/>
        <v>96831.891235699863</v>
      </c>
      <c r="EG28" s="1">
        <f t="shared" si="76"/>
        <v>95863.572323342858</v>
      </c>
      <c r="EH28" s="1">
        <f t="shared" si="76"/>
        <v>94904.936600109431</v>
      </c>
      <c r="EI28" s="1">
        <f t="shared" si="76"/>
        <v>93955.887234108333</v>
      </c>
      <c r="EJ28" s="1">
        <f t="shared" si="76"/>
        <v>93016.328361767242</v>
      </c>
      <c r="EK28" s="1">
        <f t="shared" si="76"/>
        <v>92086.16507814957</v>
      </c>
    </row>
    <row r="29" spans="2:141" x14ac:dyDescent="0.2">
      <c r="B29" s="5" t="s">
        <v>89</v>
      </c>
    </row>
    <row r="30" spans="2:141" x14ac:dyDescent="0.2">
      <c r="B30" s="5" t="s">
        <v>1</v>
      </c>
    </row>
    <row r="32" spans="2:141" x14ac:dyDescent="0.2">
      <c r="B32" s="5" t="s">
        <v>90</v>
      </c>
      <c r="C32" s="3"/>
      <c r="D32" s="3"/>
      <c r="E32" s="3"/>
      <c r="F32" s="3"/>
      <c r="G32" s="3">
        <f t="shared" ref="G32:AD32" si="77">G17/C17-1</f>
        <v>0.47550318543158365</v>
      </c>
      <c r="H32" s="3">
        <f t="shared" si="77"/>
        <v>0.5560014983678494</v>
      </c>
      <c r="I32" s="3">
        <f t="shared" si="77"/>
        <v>0.35118770377270603</v>
      </c>
      <c r="J32" s="3">
        <f t="shared" si="77"/>
        <v>0.19945141065830718</v>
      </c>
      <c r="K32" s="3">
        <f t="shared" si="77"/>
        <v>6.6371174200450911E-2</v>
      </c>
      <c r="L32" s="3">
        <f t="shared" si="77"/>
        <v>-8.7698180692643568E-3</v>
      </c>
      <c r="M32" s="3">
        <f t="shared" si="77"/>
        <v>-4.4674250258531556E-2</v>
      </c>
      <c r="N32" s="3">
        <f t="shared" si="77"/>
        <v>-4.4726916337501144E-2</v>
      </c>
      <c r="O32" s="3">
        <f t="shared" si="77"/>
        <v>2.6408198366060009E-2</v>
      </c>
      <c r="P32" s="3">
        <f t="shared" si="77"/>
        <v>0.11022829782804799</v>
      </c>
      <c r="Q32" s="3">
        <f t="shared" si="77"/>
        <v>0.23208486685429741</v>
      </c>
      <c r="R32" s="3">
        <f t="shared" si="77"/>
        <v>0.24703870666873939</v>
      </c>
      <c r="S32" s="3">
        <f t="shared" si="77"/>
        <v>0.27264793157619138</v>
      </c>
      <c r="T32" s="3">
        <f t="shared" si="77"/>
        <v>0.2210069064658271</v>
      </c>
      <c r="U32" s="3">
        <f t="shared" si="77"/>
        <v>0.18868974404029748</v>
      </c>
      <c r="V32" s="3">
        <f t="shared" si="77"/>
        <v>0.20627757971628724</v>
      </c>
      <c r="W32" s="3">
        <f t="shared" si="77"/>
        <v>0.16071869428062002</v>
      </c>
      <c r="X32" s="3">
        <f t="shared" si="77"/>
        <v>0.21614496685521223</v>
      </c>
      <c r="Y32" s="3">
        <f t="shared" si="77"/>
        <v>0.26246027248761972</v>
      </c>
      <c r="Z32" s="3">
        <f t="shared" si="77"/>
        <v>0.23231213810602225</v>
      </c>
      <c r="AA32" s="3">
        <f t="shared" si="77"/>
        <v>0.24019999999999997</v>
      </c>
      <c r="AB32" s="3">
        <f t="shared" si="77"/>
        <v>0.1978000000000002</v>
      </c>
      <c r="AC32" s="3">
        <f t="shared" si="77"/>
        <v>0.21979999999999977</v>
      </c>
      <c r="AD32" s="3">
        <f t="shared" si="77"/>
        <v>0.22960000000000003</v>
      </c>
      <c r="AO32" s="3"/>
      <c r="AP32" s="3">
        <f t="shared" ref="AP32:BC32" si="78">AP17/AO17-1</f>
        <v>0.37180978526394148</v>
      </c>
      <c r="AQ32" s="3">
        <f t="shared" si="78"/>
        <v>-1.1193175554782941E-2</v>
      </c>
      <c r="AR32" s="3">
        <f t="shared" si="78"/>
        <v>0.15686610810486323</v>
      </c>
      <c r="AS32" s="3">
        <f t="shared" si="78"/>
        <v>0.21941275453851339</v>
      </c>
      <c r="AT32" s="3">
        <f t="shared" si="78"/>
        <v>0.2200451234179932</v>
      </c>
      <c r="AU32" s="3">
        <f t="shared" si="78"/>
        <v>0.22180392579957764</v>
      </c>
      <c r="AV32" s="3">
        <f t="shared" si="78"/>
        <v>0.11274482860273571</v>
      </c>
      <c r="AW32" s="3">
        <f t="shared" si="78"/>
        <v>8.1500000000000128E-2</v>
      </c>
      <c r="AX32" s="3">
        <f t="shared" si="78"/>
        <v>8.1500000000000128E-2</v>
      </c>
      <c r="AY32" s="3">
        <f t="shared" si="78"/>
        <v>8.1500000000000128E-2</v>
      </c>
      <c r="AZ32" s="3">
        <f t="shared" si="78"/>
        <v>8.1500000000000128E-2</v>
      </c>
      <c r="BA32" s="3">
        <f t="shared" si="78"/>
        <v>8.1499999999999906E-2</v>
      </c>
      <c r="BB32" s="3">
        <f t="shared" si="78"/>
        <v>8.1499999999999906E-2</v>
      </c>
      <c r="BC32" s="3">
        <f t="shared" si="78"/>
        <v>8.1499999999999906E-2</v>
      </c>
    </row>
    <row r="33" spans="2:57" x14ac:dyDescent="0.2">
      <c r="B33" s="5" t="s">
        <v>91</v>
      </c>
      <c r="C33" s="3">
        <f t="shared" ref="C33:AD33" si="79">C19/C17</f>
        <v>0.80498393189378137</v>
      </c>
      <c r="D33" s="3">
        <f t="shared" si="79"/>
        <v>0.7950981966072671</v>
      </c>
      <c r="E33" s="3">
        <f t="shared" si="79"/>
        <v>0.80465766185374943</v>
      </c>
      <c r="F33" s="3">
        <f t="shared" si="79"/>
        <v>0.81440581362211462</v>
      </c>
      <c r="G33" s="3">
        <f t="shared" si="79"/>
        <v>0.80394329601467274</v>
      </c>
      <c r="H33" s="3">
        <f t="shared" si="79"/>
        <v>0.81432059703545756</v>
      </c>
      <c r="I33" s="3">
        <f t="shared" si="79"/>
        <v>0.80106859703550504</v>
      </c>
      <c r="J33" s="3">
        <f t="shared" si="79"/>
        <v>0.81146981081642955</v>
      </c>
      <c r="K33" s="3">
        <f t="shared" si="79"/>
        <v>0.78482872294682526</v>
      </c>
      <c r="L33" s="3">
        <f t="shared" si="79"/>
        <v>0.81985982929706469</v>
      </c>
      <c r="M33" s="3">
        <f t="shared" si="79"/>
        <v>0.79375045103557773</v>
      </c>
      <c r="N33" s="3">
        <f t="shared" si="79"/>
        <v>0.74083631276231932</v>
      </c>
      <c r="O33" s="3">
        <f t="shared" si="79"/>
        <v>0.7867690696456624</v>
      </c>
      <c r="P33" s="3">
        <f t="shared" si="79"/>
        <v>0.81421294415450485</v>
      </c>
      <c r="Q33" s="3">
        <f t="shared" si="79"/>
        <v>0.81813389562467054</v>
      </c>
      <c r="R33" s="3">
        <f t="shared" si="79"/>
        <v>0.80815736331679588</v>
      </c>
      <c r="S33" s="3">
        <f t="shared" si="79"/>
        <v>0.81785763269784661</v>
      </c>
      <c r="T33" s="3">
        <f t="shared" si="79"/>
        <v>0.81295590079598679</v>
      </c>
      <c r="U33" s="3">
        <f t="shared" si="79"/>
        <v>0.81830052477272164</v>
      </c>
      <c r="V33" s="3">
        <f t="shared" si="79"/>
        <v>0.81731941717474421</v>
      </c>
      <c r="W33" s="3">
        <f t="shared" si="79"/>
        <v>0.82105213404546962</v>
      </c>
      <c r="X33" s="3">
        <f t="shared" si="79"/>
        <v>0.82130229817324696</v>
      </c>
      <c r="Y33" s="3">
        <f t="shared" si="79"/>
        <v>0.82034268763904605</v>
      </c>
      <c r="Z33" s="3">
        <f t="shared" si="79"/>
        <v>0.83960200950327646</v>
      </c>
      <c r="AA33" s="3">
        <f t="shared" si="79"/>
        <v>0.80281138042944877</v>
      </c>
      <c r="AB33" s="3">
        <f t="shared" si="79"/>
        <v>0.80327446556881055</v>
      </c>
      <c r="AC33" s="3">
        <f t="shared" si="79"/>
        <v>0.80618049689600035</v>
      </c>
      <c r="AD33" s="3">
        <f t="shared" si="79"/>
        <v>0.82120963473705122</v>
      </c>
      <c r="AO33" s="3">
        <f t="shared" ref="AO33:BC33" si="80">AO19/AO17</f>
        <v>0.89291115092013118</v>
      </c>
      <c r="AP33" s="3">
        <f t="shared" si="80"/>
        <v>0.80794376277251567</v>
      </c>
      <c r="AQ33" s="3">
        <f t="shared" si="80"/>
        <v>0.78347297378418479</v>
      </c>
      <c r="AR33" s="3">
        <f t="shared" si="80"/>
        <v>0.80757740861817184</v>
      </c>
      <c r="AS33" s="3">
        <f t="shared" si="80"/>
        <v>0.81664437689969605</v>
      </c>
      <c r="AT33" s="3">
        <f t="shared" si="80"/>
        <v>0.82644122922136598</v>
      </c>
      <c r="AU33" s="3">
        <f t="shared" si="80"/>
        <v>0.80927848993904061</v>
      </c>
      <c r="AV33" s="3">
        <f t="shared" si="80"/>
        <v>0.81489086664686405</v>
      </c>
      <c r="AW33" s="3">
        <f t="shared" si="80"/>
        <v>0.81514760608286008</v>
      </c>
      <c r="AX33" s="3">
        <f t="shared" si="80"/>
        <v>0.81540398943087289</v>
      </c>
      <c r="AY33" s="3">
        <f t="shared" si="80"/>
        <v>0.81566001718478287</v>
      </c>
      <c r="AZ33" s="3">
        <f t="shared" si="80"/>
        <v>0.81591568983778584</v>
      </c>
      <c r="BA33" s="3">
        <f t="shared" si="80"/>
        <v>0.81617100788239372</v>
      </c>
      <c r="BB33" s="3">
        <f t="shared" si="80"/>
        <v>0.81642597181043475</v>
      </c>
      <c r="BC33" s="3">
        <f t="shared" si="80"/>
        <v>0.81668058211305561</v>
      </c>
      <c r="BD33" s="1" t="s">
        <v>92</v>
      </c>
      <c r="BE33" s="1">
        <f>NPV(BE34,AS28:EK28)</f>
        <v>2251915.1196494922</v>
      </c>
    </row>
    <row r="34" spans="2:57" x14ac:dyDescent="0.2">
      <c r="B34" s="5" t="s">
        <v>93</v>
      </c>
      <c r="C34" s="3">
        <f t="shared" ref="C34:AD34" si="81">C24/C17</f>
        <v>0.33224333314540228</v>
      </c>
      <c r="D34" s="3">
        <f t="shared" si="81"/>
        <v>0.31909883876491679</v>
      </c>
      <c r="E34" s="3">
        <f t="shared" si="81"/>
        <v>0.37447601304145317</v>
      </c>
      <c r="F34" s="3">
        <f t="shared" si="81"/>
        <v>0.45507979481333716</v>
      </c>
      <c r="G34" s="3">
        <f t="shared" si="81"/>
        <v>0.43475602766420846</v>
      </c>
      <c r="H34" s="3">
        <f t="shared" si="81"/>
        <v>0.42531898063761736</v>
      </c>
      <c r="I34" s="3">
        <f t="shared" si="81"/>
        <v>0.35928990003447087</v>
      </c>
      <c r="J34" s="3">
        <f t="shared" si="81"/>
        <v>0.37376377297971547</v>
      </c>
      <c r="K34" s="3">
        <f t="shared" si="81"/>
        <v>0.30543213415508097</v>
      </c>
      <c r="L34" s="3">
        <f t="shared" si="81"/>
        <v>0.28998681562695161</v>
      </c>
      <c r="M34" s="3">
        <f t="shared" si="81"/>
        <v>0.20437324096124701</v>
      </c>
      <c r="N34" s="3">
        <f t="shared" si="81"/>
        <v>0.19894295041193844</v>
      </c>
      <c r="O34" s="3">
        <f t="shared" si="81"/>
        <v>0.25229533950078548</v>
      </c>
      <c r="P34" s="3">
        <f t="shared" si="81"/>
        <v>0.29350917216163003</v>
      </c>
      <c r="Q34" s="3">
        <f t="shared" si="81"/>
        <v>0.40262402624026239</v>
      </c>
      <c r="R34" s="3">
        <f t="shared" si="81"/>
        <v>0.4084665054473835</v>
      </c>
      <c r="S34" s="3">
        <f t="shared" si="81"/>
        <v>0.37904265532848719</v>
      </c>
      <c r="T34" s="3">
        <f t="shared" si="81"/>
        <v>0.38000051188861306</v>
      </c>
      <c r="U34" s="3">
        <f t="shared" si="81"/>
        <v>0.4274557146024785</v>
      </c>
      <c r="V34" s="3">
        <f t="shared" si="81"/>
        <v>0.48289759222899659</v>
      </c>
      <c r="W34" s="3">
        <f t="shared" si="81"/>
        <v>0.41487450961856598</v>
      </c>
      <c r="X34" s="3">
        <f t="shared" si="81"/>
        <v>0.43019193534809325</v>
      </c>
      <c r="Y34" s="3">
        <f t="shared" si="81"/>
        <v>0.4007454822216151</v>
      </c>
      <c r="Z34" s="3">
        <f t="shared" si="81"/>
        <v>0.5546556023919117</v>
      </c>
      <c r="AA34" s="3">
        <f t="shared" si="81"/>
        <v>0.45892611543327977</v>
      </c>
      <c r="AB34" s="3">
        <f t="shared" si="81"/>
        <v>0.46042433953240108</v>
      </c>
      <c r="AC34" s="3">
        <f t="shared" si="81"/>
        <v>0.44499254338861988</v>
      </c>
      <c r="AD34" s="3">
        <f t="shared" si="81"/>
        <v>0.57788357141000746</v>
      </c>
      <c r="AO34" s="3">
        <f t="shared" ref="AO34:BC34" si="82">AO24/AO17</f>
        <v>0.46712653839890189</v>
      </c>
      <c r="AP34" s="3">
        <f t="shared" si="82"/>
        <v>0.39645040660058173</v>
      </c>
      <c r="AQ34" s="3">
        <f t="shared" si="82"/>
        <v>0.24822269293107735</v>
      </c>
      <c r="AR34" s="3">
        <f t="shared" si="82"/>
        <v>0.34655784612419477</v>
      </c>
      <c r="AS34" s="3">
        <f t="shared" si="82"/>
        <v>0.4217629179331307</v>
      </c>
      <c r="AT34" s="3">
        <f t="shared" si="82"/>
        <v>0.45642128096738277</v>
      </c>
      <c r="AU34" s="3">
        <f t="shared" si="82"/>
        <v>0.49128888664616766</v>
      </c>
      <c r="AV34" s="3">
        <f t="shared" si="82"/>
        <v>0.5046295116461964</v>
      </c>
      <c r="AW34" s="3">
        <f t="shared" si="82"/>
        <v>0.50354609880210521</v>
      </c>
      <c r="AX34" s="3">
        <f t="shared" si="82"/>
        <v>0.50232385767167698</v>
      </c>
      <c r="AY34" s="3">
        <f t="shared" si="82"/>
        <v>0.50096378552890342</v>
      </c>
      <c r="AZ34" s="3">
        <f t="shared" si="82"/>
        <v>0.49946679867455102</v>
      </c>
      <c r="BA34" s="3">
        <f t="shared" si="82"/>
        <v>0.49783373390610552</v>
      </c>
      <c r="BB34" s="3">
        <f t="shared" si="82"/>
        <v>0.49606534992970297</v>
      </c>
      <c r="BC34" s="3">
        <f t="shared" si="82"/>
        <v>0.49416232871547888</v>
      </c>
      <c r="BD34" s="1" t="s">
        <v>94</v>
      </c>
      <c r="BE34" s="3">
        <v>7.0000000000000007E-2</v>
      </c>
    </row>
    <row r="35" spans="2:57" x14ac:dyDescent="0.2">
      <c r="B35" s="5" t="s">
        <v>95</v>
      </c>
      <c r="C35" s="3">
        <f t="shared" ref="C35:AD35" si="83">C27/C26</f>
        <v>0.16362395495649207</v>
      </c>
      <c r="D35" s="3">
        <f t="shared" si="83"/>
        <v>0.15543956940140272</v>
      </c>
      <c r="E35" s="3">
        <f t="shared" si="83"/>
        <v>3.5288331488995447E-2</v>
      </c>
      <c r="F35" s="3">
        <f t="shared" si="83"/>
        <v>0.14063577173496744</v>
      </c>
      <c r="G35" s="3">
        <f t="shared" si="83"/>
        <v>0.17438928975049986</v>
      </c>
      <c r="H35" s="3">
        <f t="shared" si="83"/>
        <v>0.16934388236234316</v>
      </c>
      <c r="I35" s="3">
        <f t="shared" si="83"/>
        <v>0.12976810222432561</v>
      </c>
      <c r="J35" s="3">
        <f t="shared" si="83"/>
        <v>0.19028499448905684</v>
      </c>
      <c r="K35" s="3">
        <f t="shared" si="83"/>
        <v>0.1619892231701841</v>
      </c>
      <c r="L35" s="3">
        <f t="shared" si="83"/>
        <v>0.18311751771316884</v>
      </c>
      <c r="M35" s="3">
        <f t="shared" si="83"/>
        <v>0.21180057388809181</v>
      </c>
      <c r="N35" s="3">
        <f t="shared" si="83"/>
        <v>0.24345422019840623</v>
      </c>
      <c r="O35" s="3">
        <f t="shared" si="83"/>
        <v>0.21869440262761736</v>
      </c>
      <c r="P35" s="3">
        <f t="shared" si="83"/>
        <v>0.16194985472936618</v>
      </c>
      <c r="Q35" s="3">
        <f t="shared" si="83"/>
        <v>0.1738231098430813</v>
      </c>
      <c r="R35" s="3">
        <f t="shared" si="83"/>
        <v>0.16605188005711566</v>
      </c>
      <c r="S35" s="3">
        <f t="shared" si="83"/>
        <v>0.12789959811041388</v>
      </c>
      <c r="T35" s="3">
        <f t="shared" si="83"/>
        <v>0.10863233152389778</v>
      </c>
      <c r="U35" s="3">
        <f t="shared" si="83"/>
        <v>0.11973964762652901</v>
      </c>
      <c r="V35" s="3">
        <f t="shared" si="83"/>
        <v>0.11527193988027003</v>
      </c>
      <c r="W35" s="3">
        <f t="shared" si="83"/>
        <v>9.4549015341094556E-2</v>
      </c>
      <c r="X35" s="3">
        <f t="shared" si="83"/>
        <v>0.10699327943897925</v>
      </c>
      <c r="Y35" s="3">
        <f t="shared" si="83"/>
        <v>0.87494806813460735</v>
      </c>
      <c r="Z35" s="3">
        <f t="shared" si="83"/>
        <v>0.1224251827083748</v>
      </c>
      <c r="AA35" s="3">
        <f t="shared" si="83"/>
        <v>0.19108789192730496</v>
      </c>
      <c r="AB35" s="3">
        <f t="shared" si="83"/>
        <v>0.21196576578192503</v>
      </c>
      <c r="AC35" s="3">
        <f t="shared" si="83"/>
        <v>0.22510172266149558</v>
      </c>
      <c r="AD35" s="3">
        <f t="shared" si="83"/>
        <v>0.17927890543157859</v>
      </c>
      <c r="AO35" s="3">
        <f t="shared" ref="AO35:BC35" si="84">AO27/AO26</f>
        <v>9.9222938080952144E-2</v>
      </c>
      <c r="AP35" s="3">
        <f t="shared" si="84"/>
        <v>0.1673540173000867</v>
      </c>
      <c r="AQ35" s="3">
        <f t="shared" si="84"/>
        <v>0.19501023630243935</v>
      </c>
      <c r="AR35" s="3">
        <f t="shared" si="84"/>
        <v>0.17565573079193725</v>
      </c>
      <c r="AS35" s="3">
        <f t="shared" si="84"/>
        <v>0.11751386844786596</v>
      </c>
      <c r="AT35" s="3">
        <f t="shared" si="84"/>
        <v>0.28730060831997861</v>
      </c>
      <c r="AU35" s="3">
        <f t="shared" si="84"/>
        <v>0.19983915815341</v>
      </c>
      <c r="AV35" s="3">
        <f t="shared" si="84"/>
        <v>0.18876706714230113</v>
      </c>
      <c r="AW35" s="3">
        <f t="shared" si="84"/>
        <v>0.18864359625215907</v>
      </c>
      <c r="AX35" s="3">
        <f t="shared" si="84"/>
        <v>0.18882520079606824</v>
      </c>
      <c r="AY35" s="3">
        <f t="shared" si="84"/>
        <v>0.18929104849159464</v>
      </c>
      <c r="AZ35" s="3">
        <f t="shared" si="84"/>
        <v>0.19002399930569497</v>
      </c>
      <c r="BA35" s="3">
        <f t="shared" si="84"/>
        <v>0.19101001812572369</v>
      </c>
      <c r="BB35" s="3">
        <f t="shared" si="84"/>
        <v>0.19223770913392113</v>
      </c>
      <c r="BC35" s="3">
        <f t="shared" si="84"/>
        <v>0.19369794481262656</v>
      </c>
      <c r="BD35" s="1" t="s">
        <v>96</v>
      </c>
      <c r="BE35" s="3">
        <v>-0.01</v>
      </c>
    </row>
    <row r="36" spans="2:57" x14ac:dyDescent="0.2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O36" s="3"/>
      <c r="AP36" s="3"/>
      <c r="AQ36" s="3"/>
      <c r="AR36" s="3"/>
      <c r="AS36" s="3"/>
      <c r="AT36" s="3"/>
      <c r="AU36" s="3"/>
      <c r="BD36" s="1" t="s">
        <v>97</v>
      </c>
      <c r="BE36" s="3">
        <v>0.03</v>
      </c>
    </row>
    <row r="37" spans="2:57" x14ac:dyDescent="0.2">
      <c r="B37" s="5" t="s">
        <v>98</v>
      </c>
      <c r="C37" s="3"/>
      <c r="D37" s="3"/>
      <c r="E37" s="3"/>
      <c r="F37" s="3"/>
      <c r="G37" s="3">
        <f t="shared" ref="G37:P40" si="85">G20/C20-1</f>
        <v>0.29439601494396017</v>
      </c>
      <c r="H37" s="3">
        <f t="shared" si="85"/>
        <v>0.36620349619004933</v>
      </c>
      <c r="I37" s="3">
        <f t="shared" si="85"/>
        <v>0.32605500734830994</v>
      </c>
      <c r="J37" s="3">
        <f t="shared" si="85"/>
        <v>0.35291858678955457</v>
      </c>
      <c r="K37" s="3">
        <f t="shared" si="85"/>
        <v>0.48297094477583213</v>
      </c>
      <c r="L37" s="3">
        <f t="shared" si="85"/>
        <v>0.42552493438320216</v>
      </c>
      <c r="M37" s="3">
        <f t="shared" si="85"/>
        <v>0.45186827105763139</v>
      </c>
      <c r="N37" s="3">
        <f t="shared" si="85"/>
        <v>0.38674425205790519</v>
      </c>
      <c r="O37" s="3">
        <f t="shared" si="85"/>
        <v>0.21720513818606468</v>
      </c>
      <c r="P37" s="3">
        <f t="shared" si="85"/>
        <v>7.5258918296893018E-2</v>
      </c>
      <c r="Q37" s="3">
        <f t="shared" ref="Q37:Y40" si="86">Q20/M20-1</f>
        <v>7.7426390403489975E-3</v>
      </c>
      <c r="R37" s="3">
        <f t="shared" si="86"/>
        <v>7.6348377852829774E-2</v>
      </c>
      <c r="S37" s="3">
        <f t="shared" si="86"/>
        <v>6.3639270866645337E-2</v>
      </c>
      <c r="T37" s="3">
        <f t="shared" si="86"/>
        <v>0.12767551369863006</v>
      </c>
      <c r="U37" s="3">
        <f t="shared" si="86"/>
        <v>0.20950113624066669</v>
      </c>
      <c r="V37" s="3">
        <f t="shared" si="86"/>
        <v>0.15812494057240656</v>
      </c>
      <c r="W37" s="3">
        <f t="shared" si="86"/>
        <v>0.21767889356584491</v>
      </c>
      <c r="X37" s="3">
        <f t="shared" si="86"/>
        <v>0.22824333301698774</v>
      </c>
      <c r="Y37" s="3">
        <f t="shared" si="86"/>
        <v>0.35492529301243625</v>
      </c>
      <c r="AO37" s="3"/>
      <c r="AP37" s="3">
        <f t="shared" ref="AP37:AT39" si="87">AP20/AO20-1</f>
        <v>0.3364592367736341</v>
      </c>
      <c r="AQ37" s="3">
        <f t="shared" si="87"/>
        <v>0.43329953356317175</v>
      </c>
      <c r="AR37" s="3">
        <f t="shared" si="87"/>
        <v>8.8997679551757303E-2</v>
      </c>
      <c r="AS37" s="3">
        <f t="shared" si="87"/>
        <v>0.14003585999012547</v>
      </c>
      <c r="AT37" s="3">
        <f t="shared" si="87"/>
        <v>0.20862964989059085</v>
      </c>
      <c r="AU37" s="3"/>
      <c r="BD37" s="1" t="s">
        <v>99</v>
      </c>
      <c r="BE37" s="6">
        <f>BE33/Main!K2</f>
        <v>893.61711097202067</v>
      </c>
    </row>
    <row r="38" spans="2:57" x14ac:dyDescent="0.2">
      <c r="B38" s="5" t="s">
        <v>100</v>
      </c>
      <c r="C38" s="3"/>
      <c r="D38" s="3"/>
      <c r="E38" s="3"/>
      <c r="F38" s="3"/>
      <c r="G38" s="3">
        <f t="shared" si="85"/>
        <v>2.0093290276282705E-2</v>
      </c>
      <c r="H38" s="3">
        <f t="shared" si="85"/>
        <v>0.1475352112676056</v>
      </c>
      <c r="I38" s="3">
        <f t="shared" si="85"/>
        <v>0.32463660081997769</v>
      </c>
      <c r="J38" s="3">
        <f t="shared" si="85"/>
        <v>0.33749999999999991</v>
      </c>
      <c r="K38" s="3">
        <f t="shared" si="85"/>
        <v>0.16496658459373892</v>
      </c>
      <c r="L38" s="3">
        <f t="shared" si="85"/>
        <v>0.10309911015648976</v>
      </c>
      <c r="M38" s="3">
        <f t="shared" si="85"/>
        <v>6.3590320765334774E-2</v>
      </c>
      <c r="N38" s="3">
        <f t="shared" si="85"/>
        <v>4.262594027809441E-2</v>
      </c>
      <c r="O38" s="3">
        <f t="shared" si="85"/>
        <v>-8.0917874396135292E-2</v>
      </c>
      <c r="P38" s="3">
        <f t="shared" si="85"/>
        <v>-0.12267037552155768</v>
      </c>
      <c r="Q38" s="3">
        <f t="shared" si="86"/>
        <v>-0.23888888888888893</v>
      </c>
      <c r="R38" s="3">
        <f t="shared" si="86"/>
        <v>-0.29470922606034111</v>
      </c>
      <c r="S38" s="3">
        <f t="shared" si="86"/>
        <v>-0.1576872536136662</v>
      </c>
      <c r="T38" s="3">
        <f t="shared" si="86"/>
        <v>-0.13728598604946096</v>
      </c>
      <c r="U38" s="3">
        <f t="shared" si="86"/>
        <v>-1.911713590545705E-2</v>
      </c>
      <c r="V38" s="3">
        <f t="shared" si="86"/>
        <v>4.3397396156230617E-3</v>
      </c>
      <c r="W38" s="3">
        <f t="shared" si="86"/>
        <v>7.5273010920436922E-2</v>
      </c>
      <c r="X38" s="3">
        <f t="shared" si="86"/>
        <v>9.4818081587651593E-2</v>
      </c>
      <c r="Y38" s="3">
        <f t="shared" si="86"/>
        <v>8.1502480510275976E-3</v>
      </c>
      <c r="AO38" s="3"/>
      <c r="AP38" s="3">
        <f t="shared" si="87"/>
        <v>0.21164797238999133</v>
      </c>
      <c r="AQ38" s="3">
        <f t="shared" si="87"/>
        <v>8.6733603930783998E-2</v>
      </c>
      <c r="AR38" s="3">
        <f t="shared" si="87"/>
        <v>-0.19395845619553109</v>
      </c>
      <c r="AS38" s="3">
        <f t="shared" si="87"/>
        <v>-7.7554670352003918E-2</v>
      </c>
      <c r="AT38" s="3">
        <f t="shared" si="87"/>
        <v>5.6050057283863586E-2</v>
      </c>
      <c r="AU38" s="3"/>
      <c r="AV38" s="3"/>
      <c r="BD38" s="1" t="s">
        <v>101</v>
      </c>
      <c r="BE38" s="3">
        <f>BE37/Main!K1-1</f>
        <v>0.52755061704618922</v>
      </c>
    </row>
    <row r="39" spans="2:57" x14ac:dyDescent="0.2">
      <c r="B39" s="5" t="s">
        <v>102</v>
      </c>
      <c r="C39" s="3"/>
      <c r="D39" s="3"/>
      <c r="E39" s="3"/>
      <c r="F39" s="3"/>
      <c r="G39" s="3">
        <f t="shared" si="85"/>
        <v>2.4636765634870494E-2</v>
      </c>
      <c r="H39" s="3">
        <f t="shared" si="85"/>
        <v>0.22787193973634645</v>
      </c>
      <c r="I39" s="3">
        <f t="shared" si="85"/>
        <v>0.64581005586592188</v>
      </c>
      <c r="J39" s="3">
        <f t="shared" si="85"/>
        <v>1.0669168230143842</v>
      </c>
      <c r="K39" s="3">
        <f t="shared" si="85"/>
        <v>0.45499383477188649</v>
      </c>
      <c r="L39" s="3">
        <f t="shared" si="85"/>
        <v>0.52709611451942751</v>
      </c>
      <c r="M39" s="3">
        <f t="shared" si="85"/>
        <v>0.14867617107942976</v>
      </c>
      <c r="N39" s="3">
        <f t="shared" si="85"/>
        <v>-6.656580937972767E-2</v>
      </c>
      <c r="O39" s="3">
        <f t="shared" si="85"/>
        <v>0.22245762711864403</v>
      </c>
      <c r="P39" s="3">
        <f t="shared" si="85"/>
        <v>0.39404084365584202</v>
      </c>
      <c r="Q39" s="3">
        <f t="shared" si="86"/>
        <v>-0.38829787234042556</v>
      </c>
      <c r="R39" s="3">
        <f t="shared" si="86"/>
        <v>-0.25802269043760129</v>
      </c>
      <c r="S39" s="3">
        <f t="shared" si="86"/>
        <v>0.19757365684575401</v>
      </c>
      <c r="T39" s="3">
        <f t="shared" si="86"/>
        <v>-0.12151777137367914</v>
      </c>
      <c r="U39" s="3">
        <f t="shared" si="86"/>
        <v>-9.9033816425120769E-2</v>
      </c>
      <c r="V39" s="3">
        <f t="shared" si="86"/>
        <v>-0.66754041065967673</v>
      </c>
      <c r="W39" s="3">
        <f t="shared" si="86"/>
        <v>-0.34008683068017365</v>
      </c>
      <c r="X39" s="3">
        <f t="shared" si="86"/>
        <v>-0.27200656096227449</v>
      </c>
      <c r="Y39" s="3">
        <f t="shared" si="86"/>
        <v>0.88310991957104568</v>
      </c>
      <c r="AO39" s="3"/>
      <c r="AP39" s="3">
        <f t="shared" si="87"/>
        <v>0.49718202589489713</v>
      </c>
      <c r="AQ39" s="3">
        <f t="shared" si="87"/>
        <v>0.20215688269406851</v>
      </c>
      <c r="AR39" s="3">
        <f t="shared" si="87"/>
        <v>-3.4529451591063021E-2</v>
      </c>
      <c r="AS39" s="3">
        <f t="shared" si="87"/>
        <v>-0.14630084151472655</v>
      </c>
      <c r="AT39" s="3">
        <f t="shared" si="87"/>
        <v>-4.9794640106787247E-2</v>
      </c>
      <c r="AU39" s="3"/>
    </row>
    <row r="40" spans="2:57" x14ac:dyDescent="0.2">
      <c r="B40" s="5" t="s">
        <v>103</v>
      </c>
      <c r="C40" s="3"/>
      <c r="D40" s="3"/>
      <c r="E40" s="3"/>
      <c r="F40" s="3"/>
      <c r="G40" s="3">
        <f t="shared" si="85"/>
        <v>0.15229576624925456</v>
      </c>
      <c r="H40" s="3">
        <f t="shared" si="85"/>
        <v>0.27161326587970769</v>
      </c>
      <c r="I40" s="3">
        <f t="shared" si="85"/>
        <v>0.38761368557817244</v>
      </c>
      <c r="J40" s="3">
        <f t="shared" si="85"/>
        <v>0.46108852979081982</v>
      </c>
      <c r="K40" s="3">
        <f t="shared" si="85"/>
        <v>0.38470296004967919</v>
      </c>
      <c r="L40" s="3">
        <f t="shared" si="85"/>
        <v>0.35019008045265676</v>
      </c>
      <c r="M40" s="3">
        <f t="shared" si="85"/>
        <v>0.27450062421972543</v>
      </c>
      <c r="N40" s="3">
        <f t="shared" si="85"/>
        <v>0.18265707694395439</v>
      </c>
      <c r="O40" s="3">
        <f t="shared" si="85"/>
        <v>0.14433066746393597</v>
      </c>
      <c r="P40" s="3">
        <f t="shared" si="85"/>
        <v>9.1016238868517618E-2</v>
      </c>
      <c r="Q40" s="3">
        <f t="shared" si="86"/>
        <v>-0.13138239255540585</v>
      </c>
      <c r="R40" s="3">
        <f t="shared" si="86"/>
        <v>-8.0206540447504304E-2</v>
      </c>
      <c r="S40" s="3">
        <f t="shared" si="86"/>
        <v>4.4872632266492518E-2</v>
      </c>
      <c r="T40" s="3">
        <f t="shared" si="86"/>
        <v>1.5244268395150584E-2</v>
      </c>
      <c r="U40" s="3">
        <f t="shared" si="86"/>
        <v>0.11812799548914565</v>
      </c>
      <c r="V40" s="3">
        <f t="shared" si="86"/>
        <v>9.2939121756487886E-3</v>
      </c>
      <c r="W40" s="3">
        <f t="shared" si="86"/>
        <v>7.4388947927736426E-2</v>
      </c>
      <c r="X40" s="3">
        <f t="shared" si="86"/>
        <v>9.8604871127926152E-2</v>
      </c>
      <c r="Y40" s="3">
        <f t="shared" si="86"/>
        <v>0.35533282904689867</v>
      </c>
      <c r="AO40" s="3"/>
      <c r="AP40" s="3">
        <f>AP46/AO46-1</f>
        <v>0.28104256447454246</v>
      </c>
      <c r="AQ40" s="3">
        <f t="shared" ref="AQ40:AT40" si="88">AQ46/AP46-1</f>
        <v>0.34383624217277942</v>
      </c>
      <c r="AR40" s="3">
        <f t="shared" si="88"/>
        <v>0.27631308732198878</v>
      </c>
      <c r="AS40" s="3">
        <f t="shared" si="88"/>
        <v>0.2078182564694393</v>
      </c>
      <c r="AT40" s="3">
        <f t="shared" si="88"/>
        <v>0.41756646569049671</v>
      </c>
      <c r="AU40" s="3"/>
    </row>
    <row r="42" spans="2:57" x14ac:dyDescent="0.2">
      <c r="B42" s="5" t="s">
        <v>104</v>
      </c>
      <c r="C42" s="1">
        <f t="shared" ref="C42:Y42" si="89">C43-C57</f>
        <v>60289</v>
      </c>
      <c r="D42" s="1">
        <f t="shared" si="89"/>
        <v>58240</v>
      </c>
      <c r="E42" s="1">
        <f t="shared" si="89"/>
        <v>61784</v>
      </c>
      <c r="F42" s="1">
        <f t="shared" si="89"/>
        <v>68188</v>
      </c>
      <c r="G42" s="1">
        <f t="shared" si="89"/>
        <v>70561</v>
      </c>
      <c r="H42" s="1">
        <f t="shared" si="89"/>
        <v>70473</v>
      </c>
      <c r="I42" s="1">
        <f t="shared" si="89"/>
        <v>64833</v>
      </c>
      <c r="J42" s="1">
        <f t="shared" si="89"/>
        <v>54773</v>
      </c>
      <c r="K42" s="1">
        <f t="shared" si="89"/>
        <v>50665</v>
      </c>
      <c r="L42" s="1">
        <f t="shared" si="89"/>
        <v>47025</v>
      </c>
      <c r="M42" s="1">
        <f t="shared" si="89"/>
        <v>38382</v>
      </c>
      <c r="N42" s="1">
        <f t="shared" si="89"/>
        <v>37016</v>
      </c>
      <c r="O42" s="1">
        <f t="shared" si="89"/>
        <v>33681</v>
      </c>
      <c r="P42" s="1">
        <f t="shared" si="89"/>
        <v>41272</v>
      </c>
      <c r="Q42" s="1">
        <f t="shared" si="89"/>
        <v>48882</v>
      </c>
      <c r="R42" s="1">
        <f t="shared" si="89"/>
        <v>53159</v>
      </c>
      <c r="S42" s="1">
        <f t="shared" si="89"/>
        <v>45951</v>
      </c>
      <c r="T42" s="1">
        <f t="shared" si="89"/>
        <v>45898</v>
      </c>
      <c r="U42" s="1">
        <f t="shared" si="89"/>
        <v>48148</v>
      </c>
      <c r="V42" s="1">
        <f t="shared" si="89"/>
        <v>55059</v>
      </c>
      <c r="W42" s="1">
        <f t="shared" si="89"/>
        <v>47569</v>
      </c>
      <c r="X42" s="1">
        <f t="shared" si="89"/>
        <v>40227</v>
      </c>
      <c r="Y42" s="1">
        <f t="shared" si="89"/>
        <v>40688</v>
      </c>
      <c r="Z42" s="1">
        <f>Y42+Z28</f>
        <v>69880.714802259885</v>
      </c>
      <c r="AA42" s="1">
        <f t="shared" ref="AA42:AD42" si="90">Z42+AA28</f>
        <v>90051.143166259892</v>
      </c>
      <c r="AB42" s="1">
        <f t="shared" si="90"/>
        <v>110776.98486650789</v>
      </c>
      <c r="AC42" s="1">
        <f t="shared" si="90"/>
        <v>133230.51111057622</v>
      </c>
      <c r="AD42" s="1">
        <f t="shared" si="90"/>
        <v>168166.33132617694</v>
      </c>
      <c r="AT42" s="1">
        <f>Z42</f>
        <v>69880.714802259885</v>
      </c>
      <c r="AU42" s="1">
        <f>AT42+AU28</f>
        <v>167953.86357024475</v>
      </c>
      <c r="AV42" s="1">
        <f t="shared" ref="AV42:BC42" si="91">AU42+AV28</f>
        <v>283742.36851655587</v>
      </c>
      <c r="AW42" s="1">
        <f t="shared" si="91"/>
        <v>411212.48655436072</v>
      </c>
      <c r="AX42" s="1">
        <f t="shared" si="91"/>
        <v>551263.40677446814</v>
      </c>
      <c r="AY42" s="1">
        <f>AX42+AY28</f>
        <v>704852.03045833879</v>
      </c>
      <c r="AZ42" s="1">
        <f t="shared" si="91"/>
        <v>872995.70699541108</v>
      </c>
      <c r="BA42" s="1">
        <f t="shared" si="91"/>
        <v>1056774.9783160277</v>
      </c>
      <c r="BB42" s="1">
        <f t="shared" si="91"/>
        <v>1257336.3102642987</v>
      </c>
      <c r="BC42" s="1">
        <f t="shared" si="91"/>
        <v>1475894.7853086633</v>
      </c>
    </row>
    <row r="43" spans="2:57" x14ac:dyDescent="0.2">
      <c r="B43" s="5" t="s">
        <v>4</v>
      </c>
      <c r="C43" s="1">
        <f>23618+36671</f>
        <v>60289</v>
      </c>
      <c r="D43" s="1">
        <f>21045+37195</f>
        <v>58240</v>
      </c>
      <c r="E43" s="1">
        <f>11617+44003+6164</f>
        <v>61784</v>
      </c>
      <c r="F43" s="1">
        <f>17576+44378+6234</f>
        <v>68188</v>
      </c>
      <c r="G43" s="1">
        <f>19513+44706+6342</f>
        <v>70561</v>
      </c>
      <c r="H43" s="1">
        <f>16186+47894+6393</f>
        <v>70473</v>
      </c>
      <c r="I43" s="1">
        <f>14496+43579+6758</f>
        <v>64833</v>
      </c>
      <c r="J43" s="1">
        <f>16601+31397+6775</f>
        <v>54773</v>
      </c>
      <c r="K43" s="1">
        <f>14886+29004+6775</f>
        <v>50665</v>
      </c>
      <c r="L43" s="1">
        <f>12681+27808+6536</f>
        <v>47025</v>
      </c>
      <c r="M43" s="1">
        <f>14308+27468+6528</f>
        <v>48304</v>
      </c>
      <c r="N43" s="1">
        <f>14681+26057+6201</f>
        <v>46939</v>
      </c>
      <c r="O43" s="1">
        <f>11551+25888+6167</f>
        <v>43606</v>
      </c>
      <c r="P43" s="1">
        <f>28785+24661+6208</f>
        <v>59654</v>
      </c>
      <c r="Q43" s="1">
        <f>36890+24233+6142</f>
        <v>67265</v>
      </c>
      <c r="R43" s="1">
        <f>41862+23541+6141</f>
        <v>71544</v>
      </c>
      <c r="S43" s="1">
        <f>32307+25813+6218</f>
        <v>64338</v>
      </c>
      <c r="T43" s="1">
        <f>32045+26035+6207</f>
        <v>64287</v>
      </c>
      <c r="U43" s="1">
        <f>43852+27048+6071</f>
        <v>76971</v>
      </c>
      <c r="V43" s="1">
        <f>43889+33926+6070</f>
        <v>83885</v>
      </c>
      <c r="W43" s="1">
        <f>28750+41480+6168</f>
        <v>76398</v>
      </c>
      <c r="X43" s="1">
        <f>12005+35066+21988</f>
        <v>69059</v>
      </c>
      <c r="Y43" s="1">
        <f>10187+34261+25074</f>
        <v>69522</v>
      </c>
    </row>
    <row r="44" spans="2:57" x14ac:dyDescent="0.2">
      <c r="B44" s="5" t="s">
        <v>105</v>
      </c>
      <c r="C44" s="1">
        <v>7289</v>
      </c>
      <c r="D44" s="1">
        <v>7483</v>
      </c>
      <c r="E44" s="1">
        <v>8024</v>
      </c>
      <c r="F44" s="1">
        <v>11335</v>
      </c>
      <c r="G44" s="1">
        <v>10276</v>
      </c>
      <c r="H44" s="1">
        <v>11698</v>
      </c>
      <c r="I44" s="1">
        <v>12088</v>
      </c>
      <c r="J44" s="1">
        <v>14039</v>
      </c>
      <c r="K44" s="1">
        <v>11390</v>
      </c>
      <c r="L44" s="1">
        <v>11525</v>
      </c>
      <c r="M44" s="1">
        <v>11227</v>
      </c>
      <c r="N44" s="1">
        <v>13466</v>
      </c>
      <c r="O44" s="1">
        <v>11044</v>
      </c>
      <c r="P44" s="1">
        <v>12511</v>
      </c>
      <c r="Q44" s="1">
        <v>12944</v>
      </c>
      <c r="R44" s="1">
        <v>16169</v>
      </c>
      <c r="S44" s="1">
        <v>13430</v>
      </c>
      <c r="T44" s="1">
        <v>14505</v>
      </c>
      <c r="U44" s="1">
        <v>14700</v>
      </c>
      <c r="V44" s="1">
        <v>16994</v>
      </c>
      <c r="W44" s="1">
        <v>14514</v>
      </c>
      <c r="X44" s="1">
        <v>16561</v>
      </c>
      <c r="Y44" s="1">
        <v>17297</v>
      </c>
      <c r="AZ44" s="2"/>
      <c r="BA44" s="6"/>
    </row>
    <row r="45" spans="2:57" x14ac:dyDescent="0.2">
      <c r="B45" s="5" t="s">
        <v>106</v>
      </c>
      <c r="C45" s="1">
        <v>1771</v>
      </c>
      <c r="D45" s="1">
        <v>2407</v>
      </c>
      <c r="E45" s="1">
        <v>2155</v>
      </c>
      <c r="F45" s="1">
        <v>2381</v>
      </c>
      <c r="G45" s="1">
        <v>2827</v>
      </c>
      <c r="H45" s="1">
        <v>4919</v>
      </c>
      <c r="I45" s="1">
        <v>5258</v>
      </c>
      <c r="J45" s="1">
        <v>4629</v>
      </c>
      <c r="K45" s="1">
        <v>3985</v>
      </c>
      <c r="L45" s="1">
        <v>3973</v>
      </c>
      <c r="M45" s="1">
        <v>5312</v>
      </c>
      <c r="N45" s="1">
        <v>5345</v>
      </c>
      <c r="O45" s="1">
        <v>4000</v>
      </c>
      <c r="P45" s="1">
        <v>3603</v>
      </c>
      <c r="Q45" s="1">
        <v>4311</v>
      </c>
      <c r="R45" s="1">
        <v>3793</v>
      </c>
      <c r="S45" s="1">
        <v>3780</v>
      </c>
      <c r="T45" s="1">
        <v>3846</v>
      </c>
      <c r="U45" s="1">
        <v>5467</v>
      </c>
      <c r="V45" s="1">
        <v>5236</v>
      </c>
      <c r="W45" s="1">
        <v>5483</v>
      </c>
      <c r="X45" s="1">
        <v>9981</v>
      </c>
      <c r="Y45" s="1">
        <v>11373</v>
      </c>
      <c r="AZ45" s="2"/>
      <c r="BA45" s="3"/>
    </row>
    <row r="46" spans="2:57" x14ac:dyDescent="0.2">
      <c r="B46" s="5" t="s">
        <v>107</v>
      </c>
      <c r="C46" s="1">
        <v>37127</v>
      </c>
      <c r="D46" s="1">
        <v>39006</v>
      </c>
      <c r="E46" s="1">
        <v>42291</v>
      </c>
      <c r="F46" s="1">
        <v>45633</v>
      </c>
      <c r="G46" s="1">
        <v>47720</v>
      </c>
      <c r="H46" s="1">
        <v>50909</v>
      </c>
      <c r="I46" s="1">
        <v>53726</v>
      </c>
      <c r="J46" s="1">
        <v>57809</v>
      </c>
      <c r="K46" s="1">
        <v>61582</v>
      </c>
      <c r="L46" s="1">
        <v>67588</v>
      </c>
      <c r="M46" s="1">
        <v>73738</v>
      </c>
      <c r="N46" s="1">
        <v>79518</v>
      </c>
      <c r="O46" s="1">
        <v>84156</v>
      </c>
      <c r="P46" s="1">
        <v>87949</v>
      </c>
      <c r="Q46" s="1">
        <v>91772</v>
      </c>
      <c r="R46" s="1">
        <v>96587</v>
      </c>
      <c r="S46" s="1">
        <v>98908</v>
      </c>
      <c r="T46" s="1">
        <v>102959</v>
      </c>
      <c r="U46" s="1">
        <v>112162</v>
      </c>
      <c r="V46" s="1">
        <v>121346</v>
      </c>
      <c r="W46" s="1">
        <v>133567</v>
      </c>
      <c r="X46" s="1">
        <v>147039</v>
      </c>
      <c r="Y46" s="1">
        <v>160270</v>
      </c>
      <c r="Z46" s="1">
        <f>Y46*1.1</f>
        <v>176297</v>
      </c>
      <c r="AO46" s="1">
        <f>SUM(C46:F46)</f>
        <v>164057</v>
      </c>
      <c r="AP46" s="1">
        <f>SUM(G46:J46)</f>
        <v>210164</v>
      </c>
      <c r="AQ46" s="1">
        <f>SUM(K46:N46)</f>
        <v>282426</v>
      </c>
      <c r="AR46" s="1">
        <f>SUM(O46:R46)</f>
        <v>360464</v>
      </c>
      <c r="AS46" s="1">
        <f>SUM(S46:V46)</f>
        <v>435375</v>
      </c>
      <c r="AT46" s="1">
        <f>SUM(W46:Z46)</f>
        <v>617173</v>
      </c>
      <c r="AZ46" s="2"/>
      <c r="BA46" s="3"/>
    </row>
    <row r="47" spans="2:57" x14ac:dyDescent="0.2">
      <c r="B47" s="5" t="s">
        <v>108</v>
      </c>
      <c r="C47" s="1">
        <v>9359</v>
      </c>
      <c r="D47" s="1">
        <v>9429</v>
      </c>
      <c r="E47" s="1">
        <v>9439</v>
      </c>
      <c r="F47" s="1">
        <v>9348</v>
      </c>
      <c r="G47" s="1">
        <v>10202</v>
      </c>
      <c r="H47" s="1">
        <v>10525</v>
      </c>
      <c r="I47" s="1">
        <v>11063</v>
      </c>
      <c r="J47" s="1">
        <v>12155</v>
      </c>
      <c r="K47" s="1">
        <v>12241</v>
      </c>
      <c r="L47" s="1">
        <v>14130</v>
      </c>
      <c r="M47" s="1">
        <v>13641</v>
      </c>
      <c r="N47" s="1">
        <v>12673</v>
      </c>
      <c r="O47" s="1">
        <v>12899</v>
      </c>
      <c r="P47" s="1">
        <v>12955</v>
      </c>
      <c r="Q47" s="1">
        <v>13033</v>
      </c>
      <c r="R47" s="1">
        <v>13294</v>
      </c>
      <c r="S47" s="1">
        <v>13555</v>
      </c>
      <c r="T47" s="1">
        <v>14058</v>
      </c>
      <c r="U47" s="1">
        <v>14812</v>
      </c>
      <c r="V47" s="1">
        <v>14922</v>
      </c>
      <c r="W47" s="1">
        <v>15505</v>
      </c>
      <c r="X47" s="1">
        <v>15662</v>
      </c>
      <c r="Y47" s="1">
        <v>17372</v>
      </c>
      <c r="AZ47" s="2"/>
      <c r="BA47" s="7"/>
    </row>
    <row r="48" spans="2:57" x14ac:dyDescent="0.2">
      <c r="B48" s="5" t="s">
        <v>109</v>
      </c>
      <c r="C48" s="1">
        <f>18811+838</f>
        <v>19649</v>
      </c>
      <c r="D48" s="1">
        <f>19029+859</f>
        <v>19888</v>
      </c>
      <c r="E48" s="1">
        <f>744+19031</f>
        <v>19775</v>
      </c>
      <c r="F48" s="1">
        <f>623+19050</f>
        <v>19673</v>
      </c>
      <c r="G48" s="1">
        <f>505+19056</f>
        <v>19561</v>
      </c>
      <c r="H48" s="1">
        <f>514+19219</f>
        <v>19733</v>
      </c>
      <c r="I48" s="1">
        <f>365+19065</f>
        <v>19430</v>
      </c>
      <c r="J48" s="1">
        <f>634+19197</f>
        <v>19831</v>
      </c>
      <c r="K48" s="1">
        <f>910+19923</f>
        <v>20833</v>
      </c>
      <c r="L48" s="1">
        <f>965+20229</f>
        <v>21194</v>
      </c>
      <c r="M48" s="1">
        <f>875+20268</f>
        <v>21143</v>
      </c>
      <c r="N48" s="1">
        <f>897+20306</f>
        <v>21203</v>
      </c>
      <c r="O48" s="1">
        <f>949+20649</f>
        <v>21598</v>
      </c>
      <c r="P48" s="1">
        <f>856+20659</f>
        <v>21515</v>
      </c>
      <c r="Q48" s="1">
        <f>813+20668</f>
        <v>21481</v>
      </c>
      <c r="R48" s="1">
        <v>20654</v>
      </c>
      <c r="S48" s="1">
        <f>20654</f>
        <v>20654</v>
      </c>
      <c r="T48" s="1">
        <v>20654</v>
      </c>
      <c r="U48" s="1">
        <v>20654</v>
      </c>
      <c r="V48" s="1">
        <v>20654</v>
      </c>
      <c r="W48" s="1">
        <v>20654</v>
      </c>
      <c r="X48" s="1">
        <v>20654</v>
      </c>
      <c r="Y48" s="1">
        <v>21158</v>
      </c>
      <c r="AZ48" s="2"/>
      <c r="BA48" s="7"/>
    </row>
    <row r="49" spans="2:53" x14ac:dyDescent="0.2">
      <c r="B49" s="5" t="s">
        <v>110</v>
      </c>
      <c r="C49" s="1">
        <v>2887</v>
      </c>
      <c r="D49" s="1">
        <v>3238</v>
      </c>
      <c r="E49" s="1">
        <v>2969</v>
      </c>
      <c r="F49" s="1">
        <v>2758</v>
      </c>
      <c r="G49" s="1">
        <v>2376</v>
      </c>
      <c r="H49" s="1">
        <v>2352</v>
      </c>
      <c r="I49" s="1">
        <v>3187</v>
      </c>
      <c r="J49" s="1">
        <v>2751</v>
      </c>
      <c r="K49" s="1">
        <v>3522</v>
      </c>
      <c r="L49" s="1">
        <v>4344</v>
      </c>
      <c r="M49" s="1">
        <v>5529</v>
      </c>
      <c r="N49" s="1">
        <v>6583</v>
      </c>
      <c r="O49" s="1">
        <v>7188</v>
      </c>
      <c r="P49" s="1">
        <v>8501</v>
      </c>
      <c r="Q49" s="1">
        <v>5468</v>
      </c>
      <c r="R49" s="1">
        <v>7582</v>
      </c>
      <c r="S49" s="1">
        <v>8179</v>
      </c>
      <c r="T49" s="1">
        <v>9929</v>
      </c>
      <c r="U49" s="1">
        <v>11642</v>
      </c>
      <c r="V49" s="1">
        <v>13017</v>
      </c>
      <c r="W49" s="1">
        <v>14092</v>
      </c>
      <c r="X49" s="1">
        <v>15788</v>
      </c>
      <c r="Y49" s="1">
        <v>6852</v>
      </c>
    </row>
    <row r="50" spans="2:53" x14ac:dyDescent="0.2">
      <c r="B50" s="5" t="s">
        <v>111</v>
      </c>
      <c r="C50" s="1">
        <f t="shared" ref="C50:T50" si="92">SUM(C43:C49)</f>
        <v>138371</v>
      </c>
      <c r="D50" s="1">
        <f t="shared" si="92"/>
        <v>139691</v>
      </c>
      <c r="E50" s="1">
        <f t="shared" si="92"/>
        <v>146437</v>
      </c>
      <c r="F50" s="1">
        <f t="shared" si="92"/>
        <v>159316</v>
      </c>
      <c r="G50" s="1">
        <f t="shared" si="92"/>
        <v>163523</v>
      </c>
      <c r="H50" s="1">
        <f t="shared" si="92"/>
        <v>170609</v>
      </c>
      <c r="I50" s="1">
        <f t="shared" si="92"/>
        <v>169585</v>
      </c>
      <c r="J50" s="1">
        <f t="shared" si="92"/>
        <v>165987</v>
      </c>
      <c r="K50" s="1">
        <f t="shared" si="92"/>
        <v>164218</v>
      </c>
      <c r="L50" s="1">
        <f t="shared" si="92"/>
        <v>169779</v>
      </c>
      <c r="M50" s="1">
        <f t="shared" ref="M50" si="93">SUM(M43:M49)</f>
        <v>178894</v>
      </c>
      <c r="N50" s="1">
        <f t="shared" si="92"/>
        <v>185727</v>
      </c>
      <c r="O50" s="1">
        <f t="shared" si="92"/>
        <v>184491</v>
      </c>
      <c r="P50" s="1">
        <f t="shared" si="92"/>
        <v>206688</v>
      </c>
      <c r="Q50" s="1">
        <f t="shared" si="92"/>
        <v>216274</v>
      </c>
      <c r="R50" s="1">
        <f t="shared" si="92"/>
        <v>229623</v>
      </c>
      <c r="S50" s="1">
        <f t="shared" si="92"/>
        <v>222844</v>
      </c>
      <c r="T50" s="1">
        <f t="shared" si="92"/>
        <v>230238</v>
      </c>
      <c r="U50" s="1">
        <f>SUM(U43:U49)</f>
        <v>256408</v>
      </c>
      <c r="V50" s="1">
        <f t="shared" ref="V50:X50" si="94">SUM(V43:V49)</f>
        <v>276054</v>
      </c>
      <c r="W50" s="1">
        <f t="shared" si="94"/>
        <v>280213</v>
      </c>
      <c r="X50" s="1">
        <f t="shared" si="94"/>
        <v>294744</v>
      </c>
      <c r="Y50" s="1">
        <f>SUM(Y43:Y49)</f>
        <v>303844</v>
      </c>
    </row>
    <row r="52" spans="2:53" x14ac:dyDescent="0.2">
      <c r="B52" s="5" t="s">
        <v>112</v>
      </c>
      <c r="C52" s="1">
        <f>829+712</f>
        <v>1541</v>
      </c>
      <c r="D52" s="1">
        <f>920+729</f>
        <v>1649</v>
      </c>
      <c r="E52" s="1">
        <f>1106+800</f>
        <v>1906</v>
      </c>
      <c r="F52" s="1">
        <f>1331+1093</f>
        <v>2424</v>
      </c>
      <c r="G52" s="1">
        <f>878+1006</f>
        <v>1884</v>
      </c>
      <c r="H52" s="1">
        <f>973+949</f>
        <v>1922</v>
      </c>
      <c r="I52" s="1">
        <f>2195+909</f>
        <v>3104</v>
      </c>
      <c r="J52" s="1">
        <f>4083+1052</f>
        <v>5135</v>
      </c>
      <c r="K52" s="1">
        <f>3246+935</f>
        <v>4181</v>
      </c>
      <c r="L52" s="1">
        <f>4008+982</f>
        <v>4990</v>
      </c>
      <c r="M52" s="1">
        <f>3871+975</f>
        <v>4846</v>
      </c>
      <c r="N52" s="1">
        <f>4990+1117</f>
        <v>6107</v>
      </c>
      <c r="O52" s="1">
        <f>3672+885</f>
        <v>4557</v>
      </c>
      <c r="P52" s="1">
        <f>3093+772</f>
        <v>3865</v>
      </c>
      <c r="Q52" s="1">
        <f>4372+770</f>
        <v>5142</v>
      </c>
      <c r="R52" s="1">
        <v>4849</v>
      </c>
      <c r="S52" s="1">
        <v>3785</v>
      </c>
      <c r="T52" s="1">
        <v>3173</v>
      </c>
      <c r="U52" s="1">
        <v>7656</v>
      </c>
      <c r="V52" s="1">
        <v>7687</v>
      </c>
      <c r="W52" s="1">
        <v>8512</v>
      </c>
      <c r="X52" s="1">
        <v>10271</v>
      </c>
      <c r="Y52" s="1">
        <v>7798</v>
      </c>
    </row>
    <row r="53" spans="2:53" x14ac:dyDescent="0.2">
      <c r="B53" s="5" t="s">
        <v>113</v>
      </c>
      <c r="C53" s="1">
        <v>835</v>
      </c>
      <c r="D53" s="1">
        <v>899</v>
      </c>
      <c r="E53" s="1">
        <v>975</v>
      </c>
      <c r="F53" s="1">
        <v>1023</v>
      </c>
      <c r="G53" s="1">
        <v>1040</v>
      </c>
      <c r="H53" s="1">
        <v>1051</v>
      </c>
      <c r="I53" s="1">
        <v>1086</v>
      </c>
      <c r="J53" s="1">
        <v>1127</v>
      </c>
      <c r="K53" s="1">
        <v>1159</v>
      </c>
      <c r="L53" s="1">
        <v>1275</v>
      </c>
      <c r="M53" s="1">
        <v>1291</v>
      </c>
      <c r="N53" s="1">
        <v>1367</v>
      </c>
      <c r="O53" s="1">
        <v>1479</v>
      </c>
      <c r="P53" s="1">
        <v>1396</v>
      </c>
      <c r="Q53" s="1">
        <v>1460</v>
      </c>
      <c r="R53" s="1">
        <v>1623</v>
      </c>
      <c r="S53" s="1">
        <v>1676</v>
      </c>
      <c r="T53" s="1">
        <v>1917</v>
      </c>
      <c r="U53" s="1">
        <v>2016</v>
      </c>
      <c r="V53" s="1">
        <v>1942</v>
      </c>
      <c r="W53" s="1">
        <v>1976</v>
      </c>
      <c r="X53" s="1">
        <v>1977</v>
      </c>
      <c r="Y53" s="1">
        <v>2113</v>
      </c>
      <c r="AZ53" s="2"/>
      <c r="BA53" s="7"/>
    </row>
    <row r="54" spans="2:53" x14ac:dyDescent="0.2">
      <c r="B54" s="5" t="s">
        <v>114</v>
      </c>
      <c r="C54" s="1">
        <v>12446</v>
      </c>
      <c r="D54" s="1">
        <v>8496</v>
      </c>
      <c r="E54" s="1">
        <v>8684</v>
      </c>
      <c r="F54" s="1">
        <v>11152</v>
      </c>
      <c r="G54" s="1">
        <v>9411</v>
      </c>
      <c r="H54" s="1">
        <v>11510</v>
      </c>
      <c r="I54" s="1">
        <v>13158</v>
      </c>
      <c r="J54" s="1">
        <v>14312</v>
      </c>
      <c r="K54" s="1">
        <v>15226</v>
      </c>
      <c r="L54" s="1">
        <v>15420</v>
      </c>
      <c r="M54" s="1">
        <v>16036</v>
      </c>
      <c r="N54" s="1">
        <v>19552</v>
      </c>
      <c r="O54" s="1">
        <v>19345</v>
      </c>
      <c r="P54" s="1">
        <v>24660</v>
      </c>
      <c r="Q54" s="1">
        <v>23929</v>
      </c>
      <c r="R54" s="1">
        <v>25488</v>
      </c>
      <c r="S54" s="1">
        <v>22640</v>
      </c>
      <c r="T54" s="1">
        <v>21914</v>
      </c>
      <c r="U54" s="1">
        <v>23658</v>
      </c>
      <c r="V54" s="1">
        <v>23967</v>
      </c>
      <c r="W54" s="1">
        <v>23402</v>
      </c>
      <c r="X54" s="1">
        <v>25057</v>
      </c>
      <c r="Y54" s="1">
        <v>27047</v>
      </c>
    </row>
    <row r="55" spans="2:53" x14ac:dyDescent="0.2">
      <c r="B55" s="5" t="s">
        <v>115</v>
      </c>
      <c r="C55" s="1">
        <v>9509</v>
      </c>
      <c r="D55" s="1">
        <v>9633</v>
      </c>
      <c r="E55" s="1">
        <v>9641</v>
      </c>
      <c r="F55" s="1">
        <v>9631</v>
      </c>
      <c r="G55" s="1">
        <v>10574</v>
      </c>
      <c r="H55" s="1">
        <v>10956</v>
      </c>
      <c r="I55" s="1">
        <v>11554</v>
      </c>
      <c r="J55" s="1">
        <v>12746</v>
      </c>
      <c r="K55" s="1">
        <v>12894</v>
      </c>
      <c r="L55" s="1">
        <v>14792</v>
      </c>
      <c r="M55" s="1">
        <v>14687</v>
      </c>
      <c r="N55" s="1">
        <v>15301</v>
      </c>
      <c r="O55" s="1">
        <v>16171</v>
      </c>
      <c r="P55" s="1">
        <v>16440</v>
      </c>
      <c r="Q55" s="1">
        <v>16374</v>
      </c>
      <c r="R55" s="1">
        <v>17226</v>
      </c>
      <c r="S55" s="1">
        <v>17570</v>
      </c>
      <c r="T55" s="1">
        <v>17685</v>
      </c>
      <c r="U55" s="1">
        <v>18208</v>
      </c>
      <c r="V55" s="1">
        <v>18292</v>
      </c>
      <c r="W55" s="1">
        <v>18714</v>
      </c>
      <c r="X55" s="1">
        <v>18751</v>
      </c>
      <c r="Y55" s="1">
        <v>20113</v>
      </c>
    </row>
    <row r="56" spans="2:53" x14ac:dyDescent="0.2">
      <c r="B56" s="5" t="s">
        <v>116</v>
      </c>
      <c r="C56" s="1">
        <v>247</v>
      </c>
      <c r="D56" s="1">
        <v>264</v>
      </c>
      <c r="E56" s="1">
        <v>379</v>
      </c>
      <c r="F56" s="1">
        <v>382</v>
      </c>
      <c r="G56" s="1">
        <v>382</v>
      </c>
      <c r="H56" s="1">
        <v>391</v>
      </c>
      <c r="I56" s="1">
        <v>464</v>
      </c>
      <c r="J56" s="1">
        <v>561</v>
      </c>
      <c r="K56" s="1">
        <v>520</v>
      </c>
      <c r="L56" s="1">
        <v>532</v>
      </c>
      <c r="M56" s="1">
        <v>514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</row>
    <row r="57" spans="2:53" x14ac:dyDescent="0.2">
      <c r="B57" s="5" t="s">
        <v>5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9922</v>
      </c>
      <c r="N57" s="1">
        <v>9923</v>
      </c>
      <c r="O57" s="1">
        <v>9925</v>
      </c>
      <c r="P57" s="1">
        <v>18382</v>
      </c>
      <c r="Q57" s="1">
        <v>18383</v>
      </c>
      <c r="R57" s="1">
        <v>18385</v>
      </c>
      <c r="S57" s="1">
        <v>18387</v>
      </c>
      <c r="T57" s="1">
        <v>18389</v>
      </c>
      <c r="U57" s="1">
        <v>28823</v>
      </c>
      <c r="V57" s="1">
        <v>28826</v>
      </c>
      <c r="W57" s="1">
        <v>28829</v>
      </c>
      <c r="X57" s="1">
        <v>28832</v>
      </c>
      <c r="Y57" s="1">
        <v>28834</v>
      </c>
      <c r="Z57" s="1">
        <f>-Z47</f>
        <v>0</v>
      </c>
    </row>
    <row r="58" spans="2:53" x14ac:dyDescent="0.2">
      <c r="B58" s="5" t="s">
        <v>117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7514</v>
      </c>
      <c r="S58" s="1">
        <v>7795</v>
      </c>
      <c r="T58" s="1">
        <v>7897</v>
      </c>
      <c r="U58" s="1">
        <v>9171</v>
      </c>
      <c r="V58" s="1">
        <v>9987</v>
      </c>
      <c r="W58" s="1">
        <v>10991</v>
      </c>
      <c r="X58" s="1">
        <v>12046</v>
      </c>
      <c r="Y58" s="1">
        <v>11738</v>
      </c>
    </row>
    <row r="59" spans="2:53" x14ac:dyDescent="0.2">
      <c r="B59" s="5" t="s">
        <v>118</v>
      </c>
      <c r="C59" s="1">
        <v>8489</v>
      </c>
      <c r="D59" s="1">
        <v>8303</v>
      </c>
      <c r="E59" s="1">
        <v>7121</v>
      </c>
      <c r="F59" s="1">
        <v>6414</v>
      </c>
      <c r="G59" s="1">
        <v>6575</v>
      </c>
      <c r="H59" s="1">
        <v>6552</v>
      </c>
      <c r="I59" s="1">
        <v>6859</v>
      </c>
      <c r="J59" s="1">
        <v>7227</v>
      </c>
      <c r="K59" s="1">
        <v>7010</v>
      </c>
      <c r="L59" s="1">
        <v>7003</v>
      </c>
      <c r="M59" s="1">
        <v>7504</v>
      </c>
      <c r="N59" s="1">
        <v>7764</v>
      </c>
      <c r="O59" s="1">
        <v>8219</v>
      </c>
      <c r="P59" s="1">
        <v>7912</v>
      </c>
      <c r="Q59" s="1">
        <v>8113</v>
      </c>
      <c r="R59" s="1">
        <v>1370</v>
      </c>
      <c r="S59" s="1">
        <v>1462</v>
      </c>
      <c r="T59" s="1">
        <v>2500</v>
      </c>
      <c r="U59" s="1">
        <v>2347</v>
      </c>
      <c r="V59" s="1">
        <v>2716</v>
      </c>
      <c r="W59" s="1">
        <v>2760</v>
      </c>
      <c r="X59" s="1">
        <v>2740</v>
      </c>
      <c r="Y59" s="1">
        <v>12135</v>
      </c>
    </row>
    <row r="60" spans="2:53" x14ac:dyDescent="0.2">
      <c r="B60" s="5" t="s">
        <v>119</v>
      </c>
      <c r="C60" s="1">
        <v>46688</v>
      </c>
      <c r="D60" s="1">
        <v>47805</v>
      </c>
      <c r="E60" s="1">
        <v>48910</v>
      </c>
      <c r="F60" s="1">
        <v>50018</v>
      </c>
      <c r="G60" s="1">
        <v>51160</v>
      </c>
      <c r="H60" s="1">
        <v>52845</v>
      </c>
      <c r="I60" s="1">
        <v>54335</v>
      </c>
      <c r="J60" s="1">
        <v>55811</v>
      </c>
      <c r="K60" s="1">
        <v>57512</v>
      </c>
      <c r="L60" s="1">
        <v>59929</v>
      </c>
      <c r="M60" s="1">
        <v>62092</v>
      </c>
      <c r="N60" s="1">
        <v>64444</v>
      </c>
      <c r="O60" s="1">
        <v>66535</v>
      </c>
      <c r="P60" s="1">
        <v>69159</v>
      </c>
      <c r="Q60" s="1">
        <v>71224</v>
      </c>
      <c r="R60" s="1">
        <v>73253</v>
      </c>
      <c r="S60" s="1">
        <v>75391</v>
      </c>
      <c r="T60" s="1">
        <v>78270</v>
      </c>
      <c r="U60" s="1">
        <v>80749</v>
      </c>
      <c r="V60" s="1">
        <v>83228</v>
      </c>
      <c r="W60" s="1">
        <v>85568</v>
      </c>
      <c r="X60" s="1">
        <v>88496</v>
      </c>
      <c r="Y60" s="1">
        <v>92330</v>
      </c>
    </row>
    <row r="61" spans="2:53" x14ac:dyDescent="0.2">
      <c r="B61" s="5" t="s">
        <v>120</v>
      </c>
      <c r="C61" s="1">
        <v>-544</v>
      </c>
      <c r="D61" s="1">
        <v>-142</v>
      </c>
      <c r="E61" s="1">
        <v>308</v>
      </c>
      <c r="F61" s="1">
        <v>927</v>
      </c>
      <c r="G61" s="1">
        <v>154</v>
      </c>
      <c r="H61" s="1">
        <v>285</v>
      </c>
      <c r="I61" s="1">
        <v>-207</v>
      </c>
      <c r="J61" s="1">
        <v>-693</v>
      </c>
      <c r="K61" s="1">
        <v>-1996</v>
      </c>
      <c r="L61" s="1">
        <v>-3411</v>
      </c>
      <c r="M61" s="1">
        <v>-5054</v>
      </c>
      <c r="N61" s="1">
        <v>-3530</v>
      </c>
      <c r="O61" s="1">
        <v>-2981</v>
      </c>
      <c r="P61" s="1">
        <v>-3106</v>
      </c>
      <c r="Q61" s="1">
        <v>-3556</v>
      </c>
      <c r="R61" s="1">
        <v>-2155</v>
      </c>
      <c r="S61" s="1">
        <v>-2655</v>
      </c>
      <c r="T61" s="1">
        <v>-2695</v>
      </c>
      <c r="U61" s="1">
        <v>-1192</v>
      </c>
      <c r="V61" s="1">
        <v>-3097</v>
      </c>
      <c r="W61" s="1">
        <v>-1865</v>
      </c>
      <c r="X61" s="1">
        <v>229</v>
      </c>
      <c r="Y61" s="1">
        <v>159</v>
      </c>
    </row>
    <row r="62" spans="2:53" x14ac:dyDescent="0.2">
      <c r="B62" s="5" t="s">
        <v>121</v>
      </c>
      <c r="C62" s="1">
        <v>59160</v>
      </c>
      <c r="D62" s="1">
        <v>62784</v>
      </c>
      <c r="E62" s="1">
        <v>68513</v>
      </c>
      <c r="F62" s="1">
        <v>77345</v>
      </c>
      <c r="G62" s="1">
        <v>82343</v>
      </c>
      <c r="H62" s="1">
        <v>85097</v>
      </c>
      <c r="I62" s="1">
        <v>79233</v>
      </c>
      <c r="J62" s="1">
        <v>69761</v>
      </c>
      <c r="K62" s="1">
        <v>67712</v>
      </c>
      <c r="L62" s="1">
        <v>69249</v>
      </c>
      <c r="M62" s="1">
        <v>67056</v>
      </c>
      <c r="N62" s="1">
        <v>64799</v>
      </c>
      <c r="O62" s="1">
        <v>61241</v>
      </c>
      <c r="P62" s="1">
        <v>67980</v>
      </c>
      <c r="Q62" s="1">
        <v>75205</v>
      </c>
      <c r="R62" s="1">
        <v>82070</v>
      </c>
      <c r="S62" s="1">
        <v>76793</v>
      </c>
      <c r="T62" s="1">
        <v>81888</v>
      </c>
      <c r="U62" s="1">
        <v>84972</v>
      </c>
      <c r="V62" s="1">
        <v>102506</v>
      </c>
      <c r="W62" s="1">
        <v>101326</v>
      </c>
      <c r="X62" s="1">
        <v>106345</v>
      </c>
      <c r="Y62" s="1">
        <v>101577</v>
      </c>
    </row>
    <row r="63" spans="2:53" x14ac:dyDescent="0.2">
      <c r="B63" s="5" t="s">
        <v>122</v>
      </c>
      <c r="C63" s="1">
        <f t="shared" ref="C63:U63" si="95">SUM(C52:C62)</f>
        <v>138371</v>
      </c>
      <c r="D63" s="1">
        <f t="shared" si="95"/>
        <v>139691</v>
      </c>
      <c r="E63" s="1">
        <f t="shared" si="95"/>
        <v>146437</v>
      </c>
      <c r="F63" s="1">
        <f t="shared" si="95"/>
        <v>159316</v>
      </c>
      <c r="G63" s="1">
        <f t="shared" si="95"/>
        <v>163523</v>
      </c>
      <c r="H63" s="1">
        <f t="shared" si="95"/>
        <v>170609</v>
      </c>
      <c r="I63" s="1">
        <f t="shared" si="95"/>
        <v>169586</v>
      </c>
      <c r="J63" s="1">
        <f t="shared" si="95"/>
        <v>165987</v>
      </c>
      <c r="K63" s="1">
        <f t="shared" si="95"/>
        <v>164218</v>
      </c>
      <c r="L63" s="1">
        <f t="shared" si="95"/>
        <v>169779</v>
      </c>
      <c r="M63" s="1">
        <f t="shared" si="95"/>
        <v>178894</v>
      </c>
      <c r="N63" s="1">
        <f t="shared" si="95"/>
        <v>185727</v>
      </c>
      <c r="O63" s="1">
        <f t="shared" si="95"/>
        <v>184491</v>
      </c>
      <c r="P63" s="1">
        <f t="shared" si="95"/>
        <v>206688</v>
      </c>
      <c r="Q63" s="1">
        <f t="shared" si="95"/>
        <v>216274</v>
      </c>
      <c r="R63" s="1">
        <f t="shared" si="95"/>
        <v>229623</v>
      </c>
      <c r="S63" s="1">
        <f t="shared" si="95"/>
        <v>222844</v>
      </c>
      <c r="T63" s="1">
        <f t="shared" si="95"/>
        <v>230938</v>
      </c>
      <c r="U63" s="1">
        <f t="shared" si="95"/>
        <v>256408</v>
      </c>
      <c r="V63" s="1">
        <f t="shared" ref="V63:X63" si="96">SUM(V52:V62)</f>
        <v>276054</v>
      </c>
      <c r="W63" s="1">
        <f t="shared" si="96"/>
        <v>280213</v>
      </c>
      <c r="X63" s="1">
        <f t="shared" si="96"/>
        <v>294744</v>
      </c>
      <c r="Y63" s="1">
        <f>SUM(Y52:Y62)</f>
        <v>303844</v>
      </c>
    </row>
    <row r="65" spans="2:25" x14ac:dyDescent="0.2">
      <c r="B65" s="5" t="s">
        <v>123</v>
      </c>
      <c r="C65" s="1">
        <f t="shared" ref="C65:Y65" si="97">C28</f>
        <v>4902</v>
      </c>
      <c r="D65" s="1">
        <f t="shared" si="97"/>
        <v>5178</v>
      </c>
      <c r="E65" s="1">
        <f t="shared" si="97"/>
        <v>7846</v>
      </c>
      <c r="F65" s="1">
        <f t="shared" si="97"/>
        <v>11219</v>
      </c>
      <c r="G65" s="1">
        <f t="shared" si="97"/>
        <v>9497</v>
      </c>
      <c r="H65" s="1">
        <f t="shared" si="97"/>
        <v>10394</v>
      </c>
      <c r="I65" s="1">
        <f t="shared" si="97"/>
        <v>9194</v>
      </c>
      <c r="J65" s="1">
        <f t="shared" si="97"/>
        <v>10285</v>
      </c>
      <c r="K65" s="1">
        <f t="shared" si="97"/>
        <v>7465</v>
      </c>
      <c r="L65" s="1">
        <f t="shared" si="97"/>
        <v>6687</v>
      </c>
      <c r="M65" s="1">
        <f t="shared" si="97"/>
        <v>4395</v>
      </c>
      <c r="N65" s="1">
        <f t="shared" si="97"/>
        <v>4652</v>
      </c>
      <c r="O65" s="1">
        <f t="shared" si="97"/>
        <v>5709</v>
      </c>
      <c r="P65" s="1">
        <f t="shared" si="97"/>
        <v>7788</v>
      </c>
      <c r="Q65" s="1">
        <f t="shared" si="97"/>
        <v>11583</v>
      </c>
      <c r="R65" s="1">
        <f t="shared" si="97"/>
        <v>14017</v>
      </c>
      <c r="S65" s="1">
        <f t="shared" si="97"/>
        <v>12369</v>
      </c>
      <c r="T65" s="1">
        <f t="shared" si="97"/>
        <v>13465</v>
      </c>
      <c r="U65" s="1">
        <f t="shared" si="97"/>
        <v>15688</v>
      </c>
      <c r="V65" s="1">
        <f t="shared" si="97"/>
        <v>20838</v>
      </c>
      <c r="W65" s="1">
        <f t="shared" si="97"/>
        <v>16644</v>
      </c>
      <c r="X65" s="1">
        <f t="shared" si="97"/>
        <v>18337</v>
      </c>
      <c r="Y65" s="1">
        <f t="shared" si="97"/>
        <v>2709</v>
      </c>
    </row>
    <row r="66" spans="2:25" x14ac:dyDescent="0.2">
      <c r="B66" s="5" t="s">
        <v>124</v>
      </c>
      <c r="C66" s="1">
        <v>4902</v>
      </c>
      <c r="D66" s="1">
        <v>5178</v>
      </c>
      <c r="E66" s="1">
        <v>7846</v>
      </c>
      <c r="F66" s="1">
        <v>11219</v>
      </c>
      <c r="G66" s="1">
        <v>9497</v>
      </c>
      <c r="H66" s="1">
        <v>10394</v>
      </c>
      <c r="I66" s="1">
        <v>9194</v>
      </c>
      <c r="J66" s="1">
        <v>10285</v>
      </c>
      <c r="K66" s="1">
        <v>7465</v>
      </c>
      <c r="L66" s="1">
        <v>6687</v>
      </c>
      <c r="M66" s="1">
        <v>4395</v>
      </c>
      <c r="N66" s="1">
        <v>4652</v>
      </c>
      <c r="O66" s="1">
        <v>5709</v>
      </c>
      <c r="P66" s="1">
        <v>7788</v>
      </c>
      <c r="Q66" s="1">
        <v>11583</v>
      </c>
      <c r="R66" s="1">
        <v>14017</v>
      </c>
      <c r="S66" s="1">
        <v>12369</v>
      </c>
      <c r="T66" s="1">
        <v>13465</v>
      </c>
      <c r="U66" s="1">
        <v>15688</v>
      </c>
      <c r="V66" s="1">
        <v>20838</v>
      </c>
      <c r="W66" s="1">
        <v>16644</v>
      </c>
      <c r="X66" s="1">
        <v>18337</v>
      </c>
      <c r="Y66" s="1">
        <v>2709</v>
      </c>
    </row>
    <row r="67" spans="2:25" x14ac:dyDescent="0.2">
      <c r="B67" s="5" t="s">
        <v>125</v>
      </c>
      <c r="C67" s="1">
        <v>1597</v>
      </c>
      <c r="D67" s="1">
        <v>1704</v>
      </c>
      <c r="E67" s="1">
        <v>1698</v>
      </c>
      <c r="F67" s="1">
        <v>1863</v>
      </c>
      <c r="G67" s="1">
        <v>1972</v>
      </c>
      <c r="H67" s="1">
        <v>1985</v>
      </c>
      <c r="I67" s="1">
        <v>1995</v>
      </c>
      <c r="J67" s="1">
        <v>2014</v>
      </c>
      <c r="K67" s="1">
        <v>2156</v>
      </c>
      <c r="L67" s="1">
        <v>1979</v>
      </c>
      <c r="M67" s="1">
        <v>2175</v>
      </c>
      <c r="N67" s="1">
        <v>2376</v>
      </c>
      <c r="O67" s="1">
        <v>2524</v>
      </c>
      <c r="P67" s="1">
        <v>2623</v>
      </c>
      <c r="Q67" s="1">
        <v>2858</v>
      </c>
      <c r="R67" s="1">
        <v>3172</v>
      </c>
      <c r="S67" s="1">
        <v>3374</v>
      </c>
      <c r="T67" s="1">
        <v>3637</v>
      </c>
      <c r="U67" s="1">
        <v>4027</v>
      </c>
      <c r="V67" s="1">
        <v>4460</v>
      </c>
      <c r="W67" s="1">
        <v>3900</v>
      </c>
      <c r="X67" s="1">
        <v>4342</v>
      </c>
      <c r="Y67" s="1">
        <v>4963</v>
      </c>
    </row>
    <row r="68" spans="2:25" x14ac:dyDescent="0.2">
      <c r="B68" s="5" t="s">
        <v>126</v>
      </c>
      <c r="C68" s="1">
        <v>1335</v>
      </c>
      <c r="D68" s="1">
        <v>1695</v>
      </c>
      <c r="E68" s="1">
        <v>1722</v>
      </c>
      <c r="F68" s="1">
        <v>1784</v>
      </c>
      <c r="G68" s="1">
        <v>1830</v>
      </c>
      <c r="H68" s="1">
        <v>2548</v>
      </c>
      <c r="I68" s="1">
        <v>2379</v>
      </c>
      <c r="J68" s="1">
        <v>2406</v>
      </c>
      <c r="K68" s="1">
        <v>2498</v>
      </c>
      <c r="L68" s="1">
        <v>3351</v>
      </c>
      <c r="M68" s="1">
        <v>3134</v>
      </c>
      <c r="N68" s="1">
        <v>3008</v>
      </c>
      <c r="O68" s="1">
        <v>3051</v>
      </c>
      <c r="P68" s="1">
        <v>4060</v>
      </c>
      <c r="Q68" s="1">
        <v>3492</v>
      </c>
      <c r="R68" s="1">
        <v>3424</v>
      </c>
      <c r="S68" s="1">
        <v>3562</v>
      </c>
      <c r="T68" s="1">
        <v>4616</v>
      </c>
      <c r="U68" s="1">
        <v>4250</v>
      </c>
      <c r="V68" s="1">
        <v>4262</v>
      </c>
      <c r="W68" s="1">
        <v>4147</v>
      </c>
      <c r="X68" s="1">
        <v>4834</v>
      </c>
      <c r="Y68" s="1">
        <v>5555</v>
      </c>
    </row>
    <row r="69" spans="2:25" x14ac:dyDescent="0.2">
      <c r="B69" s="5" t="s">
        <v>127</v>
      </c>
      <c r="C69" s="1">
        <v>477</v>
      </c>
      <c r="D69" s="1">
        <v>214</v>
      </c>
      <c r="E69" s="1">
        <v>-1506</v>
      </c>
      <c r="F69" s="1">
        <v>-377</v>
      </c>
      <c r="G69" s="1">
        <v>418</v>
      </c>
      <c r="H69" s="1">
        <v>229</v>
      </c>
      <c r="I69" s="1">
        <v>-786</v>
      </c>
      <c r="J69" s="1">
        <v>748</v>
      </c>
      <c r="K69" s="1">
        <v>-563</v>
      </c>
      <c r="L69" s="1">
        <v>-453</v>
      </c>
      <c r="M69" s="1">
        <v>-1097</v>
      </c>
      <c r="N69" s="1">
        <v>-1173</v>
      </c>
      <c r="O69" s="1">
        <v>-620</v>
      </c>
      <c r="P69" s="1">
        <v>-1137</v>
      </c>
      <c r="Q69" s="1">
        <v>3049</v>
      </c>
      <c r="R69" s="1">
        <v>-1161</v>
      </c>
      <c r="S69" s="1">
        <v>-456</v>
      </c>
      <c r="T69" s="1">
        <v>-1643</v>
      </c>
      <c r="U69" s="1">
        <v>-1308</v>
      </c>
      <c r="V69" s="1">
        <v>-1332</v>
      </c>
      <c r="W69" s="1">
        <v>-993</v>
      </c>
      <c r="X69" s="1">
        <v>-1170</v>
      </c>
      <c r="Y69" s="1">
        <v>19868</v>
      </c>
    </row>
    <row r="70" spans="2:25" x14ac:dyDescent="0.2">
      <c r="B70" s="5" t="s">
        <v>128</v>
      </c>
      <c r="C70" s="1">
        <v>6</v>
      </c>
      <c r="D70" s="1">
        <v>43</v>
      </c>
      <c r="E70" s="1">
        <v>7</v>
      </c>
      <c r="F70" s="1">
        <v>62</v>
      </c>
      <c r="G70" s="1">
        <v>-66</v>
      </c>
      <c r="H70" s="1">
        <v>-21</v>
      </c>
      <c r="I70" s="1">
        <v>-73</v>
      </c>
      <c r="J70" s="1">
        <v>34</v>
      </c>
      <c r="K70" s="1">
        <v>-221</v>
      </c>
      <c r="L70" s="1">
        <v>189</v>
      </c>
      <c r="M70" s="1">
        <f>413+104</f>
        <v>517</v>
      </c>
      <c r="N70" s="1">
        <f>1805+1341+328+244</f>
        <v>3718</v>
      </c>
      <c r="O70" s="1">
        <f>770-7</f>
        <v>763</v>
      </c>
      <c r="P70" s="1">
        <f>232+212</f>
        <v>444</v>
      </c>
      <c r="Q70" s="1">
        <f>340+75</f>
        <v>415</v>
      </c>
      <c r="R70" s="1">
        <f>1091+7+124</f>
        <v>1222</v>
      </c>
      <c r="S70" s="1">
        <f>240-66</f>
        <v>174</v>
      </c>
      <c r="T70" s="1">
        <f>41-6</f>
        <v>35</v>
      </c>
      <c r="U70" s="1">
        <f>8-11</f>
        <v>-3</v>
      </c>
      <c r="V70" s="1">
        <f>94+169</f>
        <v>263</v>
      </c>
      <c r="W70" s="1">
        <v>-231</v>
      </c>
      <c r="X70" s="1">
        <f>511-336</f>
        <v>175</v>
      </c>
      <c r="Y70" s="1">
        <f>-922-23</f>
        <v>-945</v>
      </c>
    </row>
    <row r="71" spans="2:25" x14ac:dyDescent="0.2">
      <c r="B71" s="5" t="s">
        <v>129</v>
      </c>
      <c r="C71" s="1">
        <f>2046-29-16-44-169-16-68+980</f>
        <v>2684</v>
      </c>
      <c r="D71" s="1">
        <f>-122-325+3-56+11-3995+15-487</f>
        <v>-4956</v>
      </c>
      <c r="E71" s="1">
        <f>-377+264+139+58-258+112+117+6</f>
        <v>61</v>
      </c>
      <c r="F71" s="1">
        <f>-3059+225-25-56+278+2218-3-89</f>
        <v>-511</v>
      </c>
      <c r="G71" s="1">
        <f>849-461-10-250-72-1681+6+210</f>
        <v>-1409</v>
      </c>
      <c r="H71" s="1">
        <f>-1366-1852-185+116-61+1482+3-26</f>
        <v>-1889</v>
      </c>
      <c r="I71" s="1">
        <f>-555-253+11+694-30+1094+78+343</f>
        <v>1382</v>
      </c>
      <c r="J71" s="1">
        <f>-2038+817-165+876+151+2462+100+414</f>
        <v>2617</v>
      </c>
      <c r="K71" s="1">
        <f>2557+573-108-882-105+763-52-5</f>
        <v>2741</v>
      </c>
      <c r="L71" s="1">
        <f>-522-435-25+237+73+1180+24-88</f>
        <v>444</v>
      </c>
      <c r="M71" s="1">
        <f>-105-830-27-22+20+998-7+540</f>
        <v>567</v>
      </c>
      <c r="N71" s="1">
        <f>-1698+854+54+876+102+1303+439</f>
        <v>1930</v>
      </c>
      <c r="O71" s="1">
        <f>2546+821+30-1104-240+334+184</f>
        <v>2571</v>
      </c>
      <c r="P71" s="1">
        <f>-1424-54+37-51-116+5290-151</f>
        <v>3531</v>
      </c>
      <c r="Q71" s="1">
        <f>-678-907-36+611+9+78-72</f>
        <v>-995</v>
      </c>
      <c r="R71" s="1">
        <f>-2843+700-111+595+76-350+663</f>
        <v>-1270</v>
      </c>
      <c r="S71" s="1">
        <f>2520+100-94-1112-1274+83</f>
        <v>223</v>
      </c>
      <c r="T71" s="1">
        <f>-1171-84+54+250-497+708</f>
        <v>-740</v>
      </c>
      <c r="U71" s="1">
        <f>143-184-29+667+572+901</f>
        <v>2070</v>
      </c>
      <c r="V71" s="1">
        <f>-2978-530-200+568+1523+1114</f>
        <v>-503</v>
      </c>
      <c r="W71" s="1">
        <f>2804+360-52-1034-2231+712</f>
        <v>559</v>
      </c>
      <c r="X71" s="1">
        <f>-1338+326-190+460-1107+892</f>
        <v>-957</v>
      </c>
      <c r="Y71" s="1">
        <f>-807-1033+33-63+455-736</f>
        <v>-2151</v>
      </c>
    </row>
    <row r="72" spans="2:25" x14ac:dyDescent="0.2">
      <c r="B72" s="5" t="s">
        <v>130</v>
      </c>
      <c r="C72" s="1">
        <f t="shared" ref="C72:T72" si="98">SUM(C66:C71)</f>
        <v>11001</v>
      </c>
      <c r="D72" s="1">
        <f t="shared" si="98"/>
        <v>3878</v>
      </c>
      <c r="E72" s="1">
        <f t="shared" si="98"/>
        <v>9828</v>
      </c>
      <c r="F72" s="1">
        <f t="shared" si="98"/>
        <v>14040</v>
      </c>
      <c r="G72" s="1">
        <f t="shared" si="98"/>
        <v>12242</v>
      </c>
      <c r="H72" s="1">
        <f t="shared" si="98"/>
        <v>13246</v>
      </c>
      <c r="I72" s="1">
        <f t="shared" si="98"/>
        <v>14091</v>
      </c>
      <c r="J72" s="1">
        <f t="shared" si="98"/>
        <v>18104</v>
      </c>
      <c r="K72" s="1">
        <f t="shared" si="98"/>
        <v>14076</v>
      </c>
      <c r="L72" s="1">
        <f t="shared" si="98"/>
        <v>12197</v>
      </c>
      <c r="M72" s="1">
        <f t="shared" si="98"/>
        <v>9691</v>
      </c>
      <c r="N72" s="1">
        <f t="shared" si="98"/>
        <v>14511</v>
      </c>
      <c r="O72" s="1">
        <f t="shared" si="98"/>
        <v>13998</v>
      </c>
      <c r="P72" s="1">
        <f t="shared" si="98"/>
        <v>17309</v>
      </c>
      <c r="Q72" s="1">
        <f t="shared" si="98"/>
        <v>20402</v>
      </c>
      <c r="R72" s="1">
        <f t="shared" si="98"/>
        <v>19404</v>
      </c>
      <c r="S72" s="1">
        <f t="shared" si="98"/>
        <v>19246</v>
      </c>
      <c r="T72" s="1">
        <f t="shared" si="98"/>
        <v>19370</v>
      </c>
      <c r="U72" s="1">
        <f>SUM(U66:U71)</f>
        <v>24724</v>
      </c>
      <c r="V72" s="1">
        <f>SUM(V66:V71)</f>
        <v>27988</v>
      </c>
      <c r="W72" s="1">
        <f>SUM(W66:W71)</f>
        <v>24026</v>
      </c>
      <c r="X72" s="1">
        <f>SUM(X66:X71)</f>
        <v>25561</v>
      </c>
      <c r="Y72" s="1">
        <f>SUM(Y66:Y71)</f>
        <v>29999</v>
      </c>
    </row>
    <row r="74" spans="2:25" x14ac:dyDescent="0.2">
      <c r="B74" s="5" t="s">
        <v>131</v>
      </c>
      <c r="C74" s="1">
        <v>-3558</v>
      </c>
      <c r="D74" s="1">
        <v>-3255</v>
      </c>
      <c r="E74" s="1">
        <v>-3689</v>
      </c>
      <c r="F74" s="1">
        <v>-4613</v>
      </c>
      <c r="G74" s="1">
        <v>-4272</v>
      </c>
      <c r="H74" s="1">
        <v>-4612</v>
      </c>
      <c r="I74" s="1">
        <v>-4313</v>
      </c>
      <c r="J74" s="1">
        <v>-5370</v>
      </c>
      <c r="K74" s="1">
        <f>-5441+126</f>
        <v>-5315</v>
      </c>
      <c r="L74" s="1">
        <v>-7572</v>
      </c>
      <c r="M74" s="1">
        <v>-9375</v>
      </c>
      <c r="N74" s="1">
        <v>-9043</v>
      </c>
      <c r="O74" s="1">
        <v>-6842</v>
      </c>
      <c r="P74" s="1">
        <v>-6216</v>
      </c>
      <c r="Q74" s="1">
        <v>-6543</v>
      </c>
      <c r="R74" s="1">
        <v>-7665</v>
      </c>
      <c r="S74" s="1">
        <v>-6400</v>
      </c>
      <c r="T74" s="1">
        <v>-8173</v>
      </c>
      <c r="U74" s="1">
        <v>-8258</v>
      </c>
      <c r="V74" s="1">
        <v>-14425</v>
      </c>
      <c r="W74" s="1">
        <v>-12941</v>
      </c>
      <c r="X74" s="1">
        <v>-16538</v>
      </c>
      <c r="Y74" s="1">
        <v>-18829</v>
      </c>
    </row>
    <row r="75" spans="2:25" x14ac:dyDescent="0.2">
      <c r="B75" s="5" t="s">
        <v>132</v>
      </c>
      <c r="C75" s="1">
        <f>-7884+2764+4644-42</f>
        <v>-518</v>
      </c>
      <c r="D75" s="1">
        <f>-6179+2617+3224-245</f>
        <v>-583</v>
      </c>
      <c r="E75" s="1">
        <f>-14130+4398+2857-6020-3</f>
        <v>-12898</v>
      </c>
      <c r="F75" s="1">
        <f>-5737+2008+3260-59-27</f>
        <v>-555</v>
      </c>
      <c r="G75" s="1">
        <f>-6231+1650+3981-2</f>
        <v>-602</v>
      </c>
      <c r="H75" s="1">
        <f>-10297+4687+2347-61</f>
        <v>-3324</v>
      </c>
      <c r="I75" s="1">
        <f>-7786+8993+2991-27-117</f>
        <v>4054</v>
      </c>
      <c r="J75" s="1">
        <f>-6093+16340+1598-2-123</f>
        <v>11720</v>
      </c>
      <c r="K75" s="1">
        <f>-4068+5065+402-10</f>
        <v>1389</v>
      </c>
      <c r="L75" s="1">
        <f>44-2220+2648+511-7</f>
        <v>976</v>
      </c>
      <c r="M75" s="1">
        <f>20-2597+1620+649+16</f>
        <v>-292</v>
      </c>
      <c r="N75" s="1">
        <f>55-741+1750+513-3</f>
        <v>1574</v>
      </c>
      <c r="O75" s="1">
        <f>19-85+534+75</f>
        <v>543</v>
      </c>
      <c r="P75" s="1">
        <f>82-717+1816-85</f>
        <v>1096</v>
      </c>
      <c r="Q75" s="1">
        <f>47-1008+1475-10</f>
        <v>504</v>
      </c>
      <c r="R75" s="1">
        <f>73-1171+2359-4</f>
        <v>1257</v>
      </c>
      <c r="S75" s="1">
        <f>-6887+4625</f>
        <v>-2262</v>
      </c>
      <c r="T75" s="1">
        <f>-3289+3233-12</f>
        <v>-68</v>
      </c>
      <c r="U75" s="1">
        <f>-4468+4114+124</f>
        <v>-230</v>
      </c>
      <c r="V75" s="1">
        <f>-10898+3817+17</f>
        <v>-7064</v>
      </c>
      <c r="W75" s="1">
        <f>-11763+4784-90</f>
        <v>-7069</v>
      </c>
      <c r="X75" s="1">
        <f>-7746+14273-15114-775+3</f>
        <v>-9359</v>
      </c>
      <c r="Y75" s="1">
        <f>-2840+4704-3046-1022-62</f>
        <v>-2266</v>
      </c>
    </row>
    <row r="76" spans="2:25" x14ac:dyDescent="0.2">
      <c r="B76" s="5" t="s">
        <v>133</v>
      </c>
      <c r="C76" s="1">
        <v>-33</v>
      </c>
      <c r="D76" s="1">
        <v>-339</v>
      </c>
      <c r="E76" s="1">
        <v>-12</v>
      </c>
      <c r="F76" s="1">
        <v>-5</v>
      </c>
      <c r="G76" s="1">
        <v>0</v>
      </c>
      <c r="H76" s="1">
        <v>-259</v>
      </c>
      <c r="I76" s="1">
        <v>-71</v>
      </c>
      <c r="J76" s="1">
        <v>-521</v>
      </c>
      <c r="K76" s="1">
        <v>-853</v>
      </c>
      <c r="L76" s="1">
        <v>-363</v>
      </c>
      <c r="M76" s="1">
        <v>-34</v>
      </c>
      <c r="N76" s="1">
        <v>-62</v>
      </c>
      <c r="O76" s="1">
        <v>-444</v>
      </c>
      <c r="P76" s="1">
        <v>-83</v>
      </c>
      <c r="Q76" s="1">
        <v>-38</v>
      </c>
      <c r="R76" s="1">
        <v>-64</v>
      </c>
      <c r="S76" s="1">
        <v>-72</v>
      </c>
      <c r="T76" s="1">
        <v>-57</v>
      </c>
      <c r="U76" s="1">
        <v>-132</v>
      </c>
      <c r="V76" s="1">
        <v>-9</v>
      </c>
      <c r="W76" s="1">
        <v>0</v>
      </c>
      <c r="X76" s="1">
        <v>-61</v>
      </c>
      <c r="Y76" s="1">
        <v>-753</v>
      </c>
    </row>
    <row r="77" spans="2:25" x14ac:dyDescent="0.2">
      <c r="B77" s="5" t="s">
        <v>134</v>
      </c>
      <c r="C77" s="1">
        <f t="shared" ref="C77:T77" si="99">SUM(C74:C76)</f>
        <v>-4109</v>
      </c>
      <c r="D77" s="1">
        <f t="shared" si="99"/>
        <v>-4177</v>
      </c>
      <c r="E77" s="1">
        <f t="shared" si="99"/>
        <v>-16599</v>
      </c>
      <c r="F77" s="1">
        <f t="shared" si="99"/>
        <v>-5173</v>
      </c>
      <c r="G77" s="1">
        <f t="shared" si="99"/>
        <v>-4874</v>
      </c>
      <c r="H77" s="1">
        <f t="shared" si="99"/>
        <v>-8195</v>
      </c>
      <c r="I77" s="1">
        <f t="shared" si="99"/>
        <v>-330</v>
      </c>
      <c r="J77" s="1">
        <f t="shared" si="99"/>
        <v>5829</v>
      </c>
      <c r="K77" s="1">
        <f t="shared" si="99"/>
        <v>-4779</v>
      </c>
      <c r="L77" s="1">
        <f t="shared" si="99"/>
        <v>-6959</v>
      </c>
      <c r="M77" s="1">
        <f t="shared" si="99"/>
        <v>-9701</v>
      </c>
      <c r="N77" s="1">
        <f t="shared" si="99"/>
        <v>-7531</v>
      </c>
      <c r="O77" s="1">
        <f t="shared" si="99"/>
        <v>-6743</v>
      </c>
      <c r="P77" s="1">
        <f t="shared" si="99"/>
        <v>-5203</v>
      </c>
      <c r="Q77" s="1">
        <f t="shared" si="99"/>
        <v>-6077</v>
      </c>
      <c r="R77" s="1">
        <f t="shared" si="99"/>
        <v>-6472</v>
      </c>
      <c r="S77" s="1">
        <f t="shared" si="99"/>
        <v>-8734</v>
      </c>
      <c r="T77" s="1">
        <f t="shared" si="99"/>
        <v>-8298</v>
      </c>
      <c r="U77" s="1">
        <f>SUM(U74:U76)</f>
        <v>-8620</v>
      </c>
      <c r="V77" s="1">
        <f>SUM(V74:V76)</f>
        <v>-21498</v>
      </c>
      <c r="W77" s="1">
        <f>SUM(W74:W76)</f>
        <v>-20010</v>
      </c>
      <c r="X77" s="1">
        <f>SUM(X74:X76)</f>
        <v>-25958</v>
      </c>
      <c r="Y77" s="1">
        <f>SUM(Y74:Y76)</f>
        <v>-21848</v>
      </c>
    </row>
    <row r="79" spans="2:25" x14ac:dyDescent="0.2">
      <c r="B79" s="5" t="s">
        <v>135</v>
      </c>
      <c r="C79" s="1">
        <v>-690</v>
      </c>
      <c r="D79" s="1">
        <v>-753</v>
      </c>
      <c r="E79" s="1">
        <v>-1000</v>
      </c>
      <c r="F79" s="1">
        <v>-1121</v>
      </c>
      <c r="G79" s="1">
        <v>-1077</v>
      </c>
      <c r="H79" s="1">
        <v>-1354</v>
      </c>
      <c r="I79" s="1">
        <v>-1576</v>
      </c>
      <c r="J79" s="1">
        <v>-1507</v>
      </c>
      <c r="K79" s="1">
        <v>-925</v>
      </c>
      <c r="L79" s="1">
        <v>-1002</v>
      </c>
      <c r="M79" s="1">
        <v>-1011</v>
      </c>
      <c r="N79" s="1">
        <v>-656</v>
      </c>
      <c r="O79" s="1">
        <v>-1009</v>
      </c>
      <c r="P79" s="1">
        <v>-1692</v>
      </c>
      <c r="Q79" s="1">
        <v>-2087</v>
      </c>
      <c r="R79" s="1">
        <v>-2223</v>
      </c>
      <c r="S79" s="1">
        <v>-3162</v>
      </c>
      <c r="T79" s="1">
        <v>-3208</v>
      </c>
      <c r="U79" s="1">
        <v>-3544</v>
      </c>
      <c r="V79" s="1">
        <v>-3857</v>
      </c>
      <c r="W79" s="1">
        <v>-4883</v>
      </c>
      <c r="X79" s="1">
        <v>-4110</v>
      </c>
      <c r="Y79" s="1">
        <v>-5135</v>
      </c>
    </row>
    <row r="80" spans="2:25" x14ac:dyDescent="0.2">
      <c r="B80" s="5" t="s">
        <v>136</v>
      </c>
      <c r="C80" s="1">
        <v>-1250</v>
      </c>
      <c r="D80" s="1">
        <v>-1369</v>
      </c>
      <c r="E80" s="1">
        <v>-1725</v>
      </c>
      <c r="F80" s="1">
        <v>-1928</v>
      </c>
      <c r="G80" s="1">
        <v>-3939</v>
      </c>
      <c r="H80" s="1">
        <v>-7079</v>
      </c>
      <c r="I80" s="1">
        <v>-13457</v>
      </c>
      <c r="J80" s="1">
        <v>-20063</v>
      </c>
      <c r="K80" s="1">
        <v>-9506</v>
      </c>
      <c r="L80" s="1">
        <v>-5233</v>
      </c>
      <c r="M80" s="1">
        <v>-6354</v>
      </c>
      <c r="N80" s="1">
        <v>-6863</v>
      </c>
      <c r="O80" s="1">
        <v>-9365</v>
      </c>
      <c r="P80" s="1">
        <v>-898</v>
      </c>
      <c r="Q80" s="1">
        <v>-3570</v>
      </c>
      <c r="R80" s="1">
        <v>-5942</v>
      </c>
      <c r="S80" s="1">
        <v>-15008</v>
      </c>
      <c r="T80" s="1">
        <v>-6299</v>
      </c>
      <c r="U80" s="1">
        <v>-8818</v>
      </c>
      <c r="V80" s="1">
        <v>0</v>
      </c>
      <c r="W80" s="1">
        <v>-12754</v>
      </c>
      <c r="X80" s="1">
        <v>-10167</v>
      </c>
      <c r="Y80" s="1">
        <v>-3327</v>
      </c>
    </row>
    <row r="81" spans="2:25" x14ac:dyDescent="0.2">
      <c r="B81" s="5" t="s">
        <v>137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-1273</v>
      </c>
      <c r="T81" s="1">
        <v>-1266</v>
      </c>
      <c r="U81" s="1">
        <v>-1263</v>
      </c>
      <c r="V81" s="1">
        <v>-1269</v>
      </c>
      <c r="W81" s="1">
        <v>-1329</v>
      </c>
      <c r="X81" s="1">
        <v>-1327</v>
      </c>
      <c r="Y81" s="1">
        <v>-1330</v>
      </c>
    </row>
    <row r="82" spans="2:25" x14ac:dyDescent="0.2">
      <c r="B82" s="5" t="s">
        <v>5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9921</v>
      </c>
      <c r="N82" s="1">
        <v>0</v>
      </c>
      <c r="O82" s="1">
        <v>0</v>
      </c>
      <c r="P82" s="1">
        <v>8455</v>
      </c>
      <c r="Q82" s="1">
        <v>0</v>
      </c>
      <c r="R82" s="1">
        <v>0</v>
      </c>
      <c r="S82" s="1">
        <v>0</v>
      </c>
      <c r="T82" s="1">
        <v>0</v>
      </c>
      <c r="U82" s="1">
        <v>10432</v>
      </c>
      <c r="V82" s="1">
        <v>0</v>
      </c>
      <c r="W82" s="1">
        <v>0</v>
      </c>
      <c r="X82" s="1">
        <v>0</v>
      </c>
      <c r="Y82" s="1">
        <v>0</v>
      </c>
    </row>
    <row r="83" spans="2:25" x14ac:dyDescent="0.2">
      <c r="B83" s="5" t="s">
        <v>128</v>
      </c>
      <c r="C83" s="1">
        <f>-100-80+98</f>
        <v>-82</v>
      </c>
      <c r="D83" s="1">
        <f>-109+63+16</f>
        <v>-30</v>
      </c>
      <c r="E83" s="1">
        <f>-189-8+10</f>
        <v>-187</v>
      </c>
      <c r="F83" s="1">
        <f>-205+48</f>
        <v>-157</v>
      </c>
      <c r="G83" s="1">
        <f>-151-50+32</f>
        <v>-169</v>
      </c>
      <c r="H83" s="1">
        <f>-123+53-45</f>
        <v>-115</v>
      </c>
      <c r="I83" s="1">
        <f>-231+11</f>
        <v>-220</v>
      </c>
      <c r="J83" s="1">
        <f>-172</f>
        <v>-172</v>
      </c>
      <c r="K83" s="1">
        <f>-233+20-16</f>
        <v>-229</v>
      </c>
      <c r="L83" s="1">
        <f>-219-79-30</f>
        <v>-328</v>
      </c>
      <c r="M83" s="1">
        <f>-163-191-55</f>
        <v>-409</v>
      </c>
      <c r="N83" s="1">
        <f>-235+695</f>
        <v>460</v>
      </c>
      <c r="O83" s="1">
        <f>-264+122</f>
        <v>-142</v>
      </c>
      <c r="P83" s="1">
        <f>-220-353</f>
        <v>-573</v>
      </c>
      <c r="Q83" s="1">
        <f>-267+49</f>
        <v>-218</v>
      </c>
      <c r="R83" s="1">
        <f>-307+71</f>
        <v>-236</v>
      </c>
      <c r="S83" s="1">
        <f>-315-9</f>
        <v>-324</v>
      </c>
      <c r="T83" s="1">
        <f>-299-106</f>
        <v>-405</v>
      </c>
      <c r="U83" s="1">
        <f>-944-234</f>
        <v>-1178</v>
      </c>
      <c r="V83" s="1">
        <f>-411+72</f>
        <v>-339</v>
      </c>
      <c r="W83" s="1">
        <f>-751+222</f>
        <v>-529</v>
      </c>
      <c r="X83" s="1">
        <f>-474+101</f>
        <v>-373</v>
      </c>
      <c r="Y83" s="1">
        <f>-545+290</f>
        <v>-255</v>
      </c>
    </row>
    <row r="84" spans="2:25" x14ac:dyDescent="0.2">
      <c r="B84" s="5" t="s">
        <v>138</v>
      </c>
      <c r="C84" s="1">
        <f t="shared" ref="C84:T84" si="100">SUM(C79:C83)</f>
        <v>-2022</v>
      </c>
      <c r="D84" s="1">
        <f t="shared" si="100"/>
        <v>-2152</v>
      </c>
      <c r="E84" s="1">
        <f t="shared" si="100"/>
        <v>-2912</v>
      </c>
      <c r="F84" s="1">
        <f t="shared" si="100"/>
        <v>-3206</v>
      </c>
      <c r="G84" s="1">
        <f t="shared" si="100"/>
        <v>-5185</v>
      </c>
      <c r="H84" s="1">
        <f t="shared" si="100"/>
        <v>-8548</v>
      </c>
      <c r="I84" s="1">
        <f t="shared" si="100"/>
        <v>-15253</v>
      </c>
      <c r="J84" s="1">
        <f t="shared" si="100"/>
        <v>-21742</v>
      </c>
      <c r="K84" s="1">
        <f t="shared" si="100"/>
        <v>-10660</v>
      </c>
      <c r="L84" s="1">
        <f t="shared" si="100"/>
        <v>-6563</v>
      </c>
      <c r="M84" s="1">
        <f t="shared" si="100"/>
        <v>2147</v>
      </c>
      <c r="N84" s="1">
        <f t="shared" si="100"/>
        <v>-7059</v>
      </c>
      <c r="O84" s="1">
        <f t="shared" si="100"/>
        <v>-10516</v>
      </c>
      <c r="P84" s="1">
        <f t="shared" si="100"/>
        <v>5292</v>
      </c>
      <c r="Q84" s="1">
        <f t="shared" si="100"/>
        <v>-5875</v>
      </c>
      <c r="R84" s="1">
        <f t="shared" si="100"/>
        <v>-8401</v>
      </c>
      <c r="S84" s="1">
        <f t="shared" si="100"/>
        <v>-19767</v>
      </c>
      <c r="T84" s="1">
        <f t="shared" si="100"/>
        <v>-11178</v>
      </c>
      <c r="U84" s="1">
        <f>SUM(U79:U83)</f>
        <v>-4371</v>
      </c>
      <c r="V84" s="1">
        <f>SUM(V79:V83)</f>
        <v>-5465</v>
      </c>
      <c r="W84" s="1">
        <f>SUM(W79:W83)</f>
        <v>-19495</v>
      </c>
      <c r="X84" s="1">
        <f>SUM(X79:X83)</f>
        <v>-15977</v>
      </c>
      <c r="Y84" s="1">
        <f>SUM(Y79:Y83)</f>
        <v>-10047</v>
      </c>
    </row>
    <row r="85" spans="2:25" x14ac:dyDescent="0.2">
      <c r="B85" s="5" t="s">
        <v>139</v>
      </c>
      <c r="C85" s="1">
        <v>-222</v>
      </c>
      <c r="D85" s="1">
        <v>93</v>
      </c>
      <c r="E85" s="1">
        <v>93</v>
      </c>
      <c r="F85" s="1">
        <v>314</v>
      </c>
      <c r="G85" s="1">
        <v>-246</v>
      </c>
      <c r="H85" s="1">
        <v>117</v>
      </c>
      <c r="I85" s="1">
        <v>-215</v>
      </c>
      <c r="J85" s="1">
        <v>-130</v>
      </c>
      <c r="K85" s="1">
        <v>-149</v>
      </c>
      <c r="L85" s="1">
        <v>-550</v>
      </c>
      <c r="M85" s="1">
        <v>-364</v>
      </c>
      <c r="N85" s="1">
        <v>424</v>
      </c>
      <c r="O85" s="1">
        <v>85</v>
      </c>
      <c r="P85" s="1">
        <v>-14</v>
      </c>
      <c r="Q85" s="1">
        <v>-354</v>
      </c>
      <c r="R85" s="1">
        <v>396</v>
      </c>
      <c r="S85" s="1">
        <v>-288</v>
      </c>
      <c r="T85" s="1">
        <v>-152</v>
      </c>
      <c r="U85" s="1">
        <v>368</v>
      </c>
      <c r="V85" s="1">
        <v>-714</v>
      </c>
      <c r="W85" s="1">
        <v>112</v>
      </c>
      <c r="X85" s="1">
        <v>131</v>
      </c>
      <c r="Y85" s="1">
        <v>9</v>
      </c>
    </row>
    <row r="86" spans="2:25" x14ac:dyDescent="0.2">
      <c r="B86" s="5" t="s">
        <v>140</v>
      </c>
      <c r="C86" s="1">
        <f t="shared" ref="C86:T86" si="101">+C72+C77+C84+C85</f>
        <v>4648</v>
      </c>
      <c r="D86" s="1">
        <f t="shared" si="101"/>
        <v>-2358</v>
      </c>
      <c r="E86" s="1">
        <f>+E72+E77+E84+E85</f>
        <v>-9590</v>
      </c>
      <c r="F86" s="1">
        <f t="shared" si="101"/>
        <v>5975</v>
      </c>
      <c r="G86" s="1">
        <f t="shared" si="101"/>
        <v>1937</v>
      </c>
      <c r="H86" s="1">
        <f t="shared" si="101"/>
        <v>-3380</v>
      </c>
      <c r="I86" s="1">
        <f t="shared" si="101"/>
        <v>-1707</v>
      </c>
      <c r="J86" s="1">
        <f t="shared" si="101"/>
        <v>2061</v>
      </c>
      <c r="K86" s="1">
        <f t="shared" si="101"/>
        <v>-1512</v>
      </c>
      <c r="L86" s="1">
        <f t="shared" si="101"/>
        <v>-1875</v>
      </c>
      <c r="M86" s="1">
        <f t="shared" si="101"/>
        <v>1773</v>
      </c>
      <c r="N86" s="1">
        <f t="shared" si="101"/>
        <v>345</v>
      </c>
      <c r="O86" s="1">
        <f t="shared" si="101"/>
        <v>-3176</v>
      </c>
      <c r="P86" s="1">
        <f t="shared" si="101"/>
        <v>17384</v>
      </c>
      <c r="Q86" s="1">
        <f t="shared" si="101"/>
        <v>8096</v>
      </c>
      <c r="R86" s="1">
        <f t="shared" si="101"/>
        <v>4927</v>
      </c>
      <c r="S86" s="1">
        <f t="shared" si="101"/>
        <v>-9543</v>
      </c>
      <c r="T86" s="1">
        <f t="shared" si="101"/>
        <v>-258</v>
      </c>
      <c r="U86" s="1">
        <f>+U72+U77+U84+U85</f>
        <v>12101</v>
      </c>
      <c r="V86" s="1">
        <f>+V72+V77+V84+V85</f>
        <v>311</v>
      </c>
      <c r="W86" s="1">
        <f>+W72+W77+W84+W85</f>
        <v>-15367</v>
      </c>
      <c r="X86" s="1">
        <f>+X72+X77+X84+X85</f>
        <v>-16243</v>
      </c>
      <c r="Y86" s="1">
        <f>+Y72+Y77+Y84+Y85</f>
        <v>-1887</v>
      </c>
    </row>
    <row r="88" spans="2:25" x14ac:dyDescent="0.2">
      <c r="B88" s="5" t="s">
        <v>141</v>
      </c>
      <c r="C88" s="1">
        <f t="shared" ref="C88:T88" si="102">C72+C74</f>
        <v>7443</v>
      </c>
      <c r="D88" s="1">
        <f t="shared" si="102"/>
        <v>623</v>
      </c>
      <c r="E88" s="1">
        <f t="shared" si="102"/>
        <v>6139</v>
      </c>
      <c r="F88" s="1">
        <f t="shared" si="102"/>
        <v>9427</v>
      </c>
      <c r="G88" s="1">
        <f t="shared" si="102"/>
        <v>7970</v>
      </c>
      <c r="H88" s="1">
        <f t="shared" si="102"/>
        <v>8634</v>
      </c>
      <c r="I88" s="1">
        <f t="shared" si="102"/>
        <v>9778</v>
      </c>
      <c r="J88" s="1">
        <f t="shared" si="102"/>
        <v>12734</v>
      </c>
      <c r="K88" s="1">
        <f t="shared" si="102"/>
        <v>8761</v>
      </c>
      <c r="L88" s="1">
        <f t="shared" si="102"/>
        <v>4625</v>
      </c>
      <c r="M88" s="1">
        <f>M72+M74</f>
        <v>316</v>
      </c>
      <c r="N88" s="1">
        <f t="shared" si="102"/>
        <v>5468</v>
      </c>
      <c r="O88" s="1">
        <f t="shared" si="102"/>
        <v>7156</v>
      </c>
      <c r="P88" s="1">
        <f t="shared" si="102"/>
        <v>11093</v>
      </c>
      <c r="Q88" s="1">
        <f t="shared" si="102"/>
        <v>13859</v>
      </c>
      <c r="R88" s="1">
        <f t="shared" si="102"/>
        <v>11739</v>
      </c>
      <c r="S88" s="1">
        <f t="shared" si="102"/>
        <v>12846</v>
      </c>
      <c r="T88" s="1">
        <f t="shared" si="102"/>
        <v>11197</v>
      </c>
      <c r="U88" s="1">
        <f>U72+U74</f>
        <v>16466</v>
      </c>
      <c r="V88" s="1">
        <f>V72+V74</f>
        <v>13563</v>
      </c>
      <c r="W88" s="1">
        <f>W72+W74</f>
        <v>11085</v>
      </c>
      <c r="X88" s="1">
        <f>X72+X74</f>
        <v>9023</v>
      </c>
      <c r="Y88" s="1">
        <f>Y72+Y74</f>
        <v>11170</v>
      </c>
    </row>
    <row r="89" spans="2:25" x14ac:dyDescent="0.2">
      <c r="B89" s="5" t="s">
        <v>142</v>
      </c>
      <c r="D89" s="1">
        <f t="shared" ref="D89:T89" si="103">SUM(A88:D88)</f>
        <v>8066</v>
      </c>
      <c r="E89" s="1">
        <f t="shared" si="103"/>
        <v>14205</v>
      </c>
      <c r="F89" s="1">
        <f t="shared" si="103"/>
        <v>23632</v>
      </c>
      <c r="G89" s="1">
        <f t="shared" si="103"/>
        <v>24159</v>
      </c>
      <c r="H89" s="1">
        <f t="shared" si="103"/>
        <v>32170</v>
      </c>
      <c r="I89" s="1">
        <f t="shared" si="103"/>
        <v>35809</v>
      </c>
      <c r="J89" s="1">
        <f t="shared" si="103"/>
        <v>39116</v>
      </c>
      <c r="K89" s="1">
        <f t="shared" si="103"/>
        <v>39907</v>
      </c>
      <c r="L89" s="1">
        <f t="shared" si="103"/>
        <v>35898</v>
      </c>
      <c r="M89" s="1">
        <f t="shared" si="103"/>
        <v>26436</v>
      </c>
      <c r="N89" s="1">
        <f t="shared" si="103"/>
        <v>19170</v>
      </c>
      <c r="O89" s="1">
        <f t="shared" si="103"/>
        <v>17565</v>
      </c>
      <c r="P89" s="1">
        <f t="shared" si="103"/>
        <v>24033</v>
      </c>
      <c r="Q89" s="1">
        <f t="shared" si="103"/>
        <v>37576</v>
      </c>
      <c r="R89" s="1">
        <f t="shared" si="103"/>
        <v>43847</v>
      </c>
      <c r="S89" s="1">
        <f t="shared" si="103"/>
        <v>49537</v>
      </c>
      <c r="T89" s="1">
        <f t="shared" si="103"/>
        <v>49641</v>
      </c>
      <c r="U89" s="1">
        <f>SUM(R88:U88)</f>
        <v>52248</v>
      </c>
      <c r="V89" s="1">
        <f>SUM(S88:V88)</f>
        <v>54072</v>
      </c>
      <c r="W89" s="1">
        <f>SUM(T88:W88)</f>
        <v>52311</v>
      </c>
      <c r="X89" s="1">
        <f>SUM(U88:X88)</f>
        <v>50137</v>
      </c>
      <c r="Y89" s="1">
        <f>SUM(V88:Y88)</f>
        <v>44841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24247C3281044188E2D24CD66DF4E7" ma:contentTypeVersion="5" ma:contentTypeDescription="Create a new document." ma:contentTypeScope="" ma:versionID="b159f7ccaea85a9d1915a66f6a3c07ba">
  <xsd:schema xmlns:xsd="http://www.w3.org/2001/XMLSchema" xmlns:xs="http://www.w3.org/2001/XMLSchema" xmlns:p="http://schemas.microsoft.com/office/2006/metadata/properties" xmlns:ns3="8959c540-4f49-4a8f-b11a-5d7e47b7d969" targetNamespace="http://schemas.microsoft.com/office/2006/metadata/properties" ma:root="true" ma:fieldsID="c6cfd2b8f1a8fe3c7712262b169eb91a" ns3:_="">
    <xsd:import namespace="8959c540-4f49-4a8f-b11a-5d7e47b7d96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59c540-4f49-4a8f-b11a-5d7e47b7d9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DC3020-BEE6-4045-99C0-72F78BF9B06E}">
  <ds:schemaRefs>
    <ds:schemaRef ds:uri="http://purl.org/dc/elements/1.1/"/>
    <ds:schemaRef ds:uri="http://purl.org/dc/terms/"/>
    <ds:schemaRef ds:uri="8959c540-4f49-4a8f-b11a-5d7e47b7d969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EB9425D3-E739-4D26-BECB-8CB69AA42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59c540-4f49-4a8f-b11a-5d7e47b7d9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C5E3C4A-3439-4DD9-B305-1D268E9D280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COCA V S SILVIU-MARIAN</dc:creator>
  <cp:keywords/>
  <dc:description/>
  <cp:lastModifiedBy>COCA V S SILVIU-MARIAN</cp:lastModifiedBy>
  <cp:revision/>
  <dcterms:created xsi:type="dcterms:W3CDTF">2025-11-04T16:13:23Z</dcterms:created>
  <dcterms:modified xsi:type="dcterms:W3CDTF">2026-03-03T19:07:18Z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0x0101003424247C3281044188E2D24CD66DF4E7</vt:lpwstr>
  </property>
</Properties>
</file>