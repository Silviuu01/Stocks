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lva\Downloads\"/>
    </mc:Choice>
  </mc:AlternateContent>
  <xr:revisionPtr revIDLastSave="0" documentId="13_ncr:1_{5CBDB9BF-9479-41B9-89D2-BEC3920BF41E}" xr6:coauthVersionLast="47" xr6:coauthVersionMax="47" xr10:uidLastSave="{00000000-0000-0000-0000-000000000000}"/>
  <bookViews>
    <workbookView xWindow="5940" yWindow="3720" windowWidth="16065" windowHeight="11880" activeTab="1" xr2:uid="{8021568F-0C01-784D-8C5A-6AF22953FEA0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29" i="2" l="1"/>
  <c r="AT30" i="2" s="1"/>
  <c r="AT11" i="2"/>
  <c r="AS11" i="2"/>
  <c r="AR19" i="2"/>
  <c r="AQ19" i="2"/>
  <c r="AP19" i="2"/>
  <c r="AO19" i="2"/>
  <c r="AN19" i="2"/>
  <c r="AM19" i="2"/>
  <c r="AL19" i="2"/>
  <c r="AK19" i="2"/>
  <c r="AJ19" i="2"/>
  <c r="AI19" i="2"/>
  <c r="AH19" i="2"/>
  <c r="AG19" i="2"/>
  <c r="AF19" i="2"/>
  <c r="AE19" i="2"/>
  <c r="AD19" i="2"/>
  <c r="AR20" i="2"/>
  <c r="AQ20" i="2"/>
  <c r="AP20" i="2"/>
  <c r="AO20" i="2"/>
  <c r="AN20" i="2"/>
  <c r="AM20" i="2"/>
  <c r="AL20" i="2"/>
  <c r="AK20" i="2"/>
  <c r="AJ20" i="2"/>
  <c r="AI20" i="2"/>
  <c r="AH20" i="2"/>
  <c r="AG20" i="2"/>
  <c r="AF20" i="2"/>
  <c r="AE20" i="2"/>
  <c r="AD20" i="2"/>
  <c r="AC20" i="2"/>
  <c r="Z20" i="2"/>
  <c r="Y20" i="2"/>
  <c r="X20" i="2"/>
  <c r="W20" i="2"/>
  <c r="Z19" i="2"/>
  <c r="Y19" i="2"/>
  <c r="X19" i="2"/>
  <c r="W19" i="2"/>
  <c r="Z8" i="2"/>
  <c r="Y8" i="2"/>
  <c r="X8" i="2"/>
  <c r="Z7" i="2"/>
  <c r="Y7" i="2"/>
  <c r="X7" i="2"/>
  <c r="Z6" i="2"/>
  <c r="Y6" i="2"/>
  <c r="X6" i="2"/>
  <c r="Z4" i="2"/>
  <c r="Y4" i="2"/>
  <c r="X4" i="2"/>
  <c r="Z3" i="2"/>
  <c r="Y3" i="2"/>
  <c r="X3" i="2"/>
  <c r="W8" i="2"/>
  <c r="W7" i="2"/>
  <c r="W6" i="2"/>
  <c r="W4" i="2"/>
  <c r="W5" i="2" s="1"/>
  <c r="W3" i="2"/>
  <c r="Z9" i="2"/>
  <c r="Y9" i="2"/>
  <c r="X9" i="2"/>
  <c r="W9" i="2"/>
  <c r="Z5" i="2"/>
  <c r="Z10" i="2" s="1"/>
  <c r="Z13" i="2" s="1"/>
  <c r="Z15" i="2" s="1"/>
  <c r="Y5" i="2"/>
  <c r="Y10" i="2" s="1"/>
  <c r="Y13" i="2" s="1"/>
  <c r="Y15" i="2" s="1"/>
  <c r="X5" i="2"/>
  <c r="X10" i="2" s="1"/>
  <c r="X13" i="2" s="1"/>
  <c r="X15" i="2" s="1"/>
  <c r="AT14" i="2"/>
  <c r="AU14" i="2" s="1"/>
  <c r="AV14" i="2" s="1"/>
  <c r="AW14" i="2" s="1"/>
  <c r="AX14" i="2" s="1"/>
  <c r="AY14" i="2" s="1"/>
  <c r="AZ14" i="2" s="1"/>
  <c r="BA14" i="2" s="1"/>
  <c r="BB14" i="2" s="1"/>
  <c r="BC14" i="2" s="1"/>
  <c r="AT12" i="2"/>
  <c r="AU12" i="2" s="1"/>
  <c r="AV12" i="2" s="1"/>
  <c r="AW12" i="2" s="1"/>
  <c r="AX12" i="2" s="1"/>
  <c r="AY12" i="2" s="1"/>
  <c r="AZ12" i="2" s="1"/>
  <c r="BA12" i="2" s="1"/>
  <c r="BB12" i="2" s="1"/>
  <c r="BC12" i="2" s="1"/>
  <c r="AT8" i="2"/>
  <c r="AU8" i="2" s="1"/>
  <c r="AV8" i="2" s="1"/>
  <c r="AW8" i="2" s="1"/>
  <c r="AX8" i="2" s="1"/>
  <c r="AY8" i="2" s="1"/>
  <c r="AZ8" i="2" s="1"/>
  <c r="BA8" i="2" s="1"/>
  <c r="BB8" i="2" s="1"/>
  <c r="BC8" i="2" s="1"/>
  <c r="AT7" i="2"/>
  <c r="AU6" i="2"/>
  <c r="AT6" i="2"/>
  <c r="AT4" i="2"/>
  <c r="AU4" i="2" s="1"/>
  <c r="AV4" i="2" s="1"/>
  <c r="AW4" i="2" s="1"/>
  <c r="AX4" i="2" s="1"/>
  <c r="AY4" i="2" s="1"/>
  <c r="AZ4" i="2" s="1"/>
  <c r="BA4" i="2" s="1"/>
  <c r="BB4" i="2" s="1"/>
  <c r="BC4" i="2" s="1"/>
  <c r="AT3" i="2"/>
  <c r="AS14" i="2"/>
  <c r="AS12" i="2"/>
  <c r="AS8" i="2"/>
  <c r="AS7" i="2"/>
  <c r="AS9" i="2"/>
  <c r="AS6" i="2"/>
  <c r="AS4" i="2"/>
  <c r="K7" i="1"/>
  <c r="K6" i="1"/>
  <c r="AS3" i="2"/>
  <c r="AN9" i="2"/>
  <c r="AN10" i="2" s="1"/>
  <c r="AN13" i="2" s="1"/>
  <c r="AN15" i="2" s="1"/>
  <c r="AM9" i="2"/>
  <c r="AM10" i="2" s="1"/>
  <c r="AM13" i="2" s="1"/>
  <c r="AM15" i="2" s="1"/>
  <c r="AL15" i="2"/>
  <c r="AL9" i="2"/>
  <c r="AK9" i="2"/>
  <c r="AJ9" i="2"/>
  <c r="AI9" i="2"/>
  <c r="AH9" i="2"/>
  <c r="AL5" i="2"/>
  <c r="AK5" i="2"/>
  <c r="AJ5" i="2"/>
  <c r="AI5" i="2"/>
  <c r="AH5" i="2"/>
  <c r="AG5" i="2"/>
  <c r="AF12" i="2"/>
  <c r="AE5" i="2"/>
  <c r="AG9" i="2"/>
  <c r="AF9" i="2"/>
  <c r="AD9" i="2"/>
  <c r="AE9" i="2"/>
  <c r="AF5" i="2"/>
  <c r="AD5" i="2"/>
  <c r="AC15" i="2"/>
  <c r="AC14" i="2"/>
  <c r="AC8" i="2"/>
  <c r="F73" i="2"/>
  <c r="F36" i="2"/>
  <c r="F24" i="2"/>
  <c r="F66" i="2"/>
  <c r="F60" i="2"/>
  <c r="F45" i="2"/>
  <c r="F40" i="2"/>
  <c r="F43" i="2" s="1"/>
  <c r="F30" i="2"/>
  <c r="F23" i="2"/>
  <c r="W10" i="2" l="1"/>
  <c r="W13" i="2" s="1"/>
  <c r="W15" i="2" s="1"/>
  <c r="AT9" i="2"/>
  <c r="AU7" i="2"/>
  <c r="AV7" i="2" s="1"/>
  <c r="AW7" i="2" s="1"/>
  <c r="AX7" i="2" s="1"/>
  <c r="AY7" i="2" s="1"/>
  <c r="AZ7" i="2" s="1"/>
  <c r="BA7" i="2" s="1"/>
  <c r="BB7" i="2" s="1"/>
  <c r="BC7" i="2" s="1"/>
  <c r="AV6" i="2"/>
  <c r="AU9" i="2"/>
  <c r="AT5" i="2"/>
  <c r="AT10" i="2" s="1"/>
  <c r="AU3" i="2"/>
  <c r="AS5" i="2"/>
  <c r="AS10" i="2" s="1"/>
  <c r="AS13" i="2" s="1"/>
  <c r="AS15" i="2" s="1"/>
  <c r="AS23" i="2" s="1"/>
  <c r="AT13" i="2" s="1"/>
  <c r="AT15" i="2" s="1"/>
  <c r="AT23" i="2" s="1"/>
  <c r="AU11" i="2" s="1"/>
  <c r="AL10" i="2"/>
  <c r="AL13" i="2" s="1"/>
  <c r="AK10" i="2"/>
  <c r="AK13" i="2" s="1"/>
  <c r="AK15" i="2" s="1"/>
  <c r="AJ10" i="2"/>
  <c r="AJ13" i="2" s="1"/>
  <c r="AJ15" i="2" s="1"/>
  <c r="AI10" i="2"/>
  <c r="AI13" i="2" s="1"/>
  <c r="AI15" i="2" s="1"/>
  <c r="AH10" i="2"/>
  <c r="AH13" i="2" s="1"/>
  <c r="AH15" i="2" s="1"/>
  <c r="AG10" i="2"/>
  <c r="AG13" i="2" s="1"/>
  <c r="AG15" i="2" s="1"/>
  <c r="AF10" i="2"/>
  <c r="AF13" i="2" s="1"/>
  <c r="AF15" i="2" s="1"/>
  <c r="AE10" i="2"/>
  <c r="AE13" i="2" s="1"/>
  <c r="AE15" i="2" s="1"/>
  <c r="AD10" i="2"/>
  <c r="AD13" i="2" s="1"/>
  <c r="AD15" i="2" s="1"/>
  <c r="J24" i="2"/>
  <c r="J73" i="2"/>
  <c r="J66" i="2"/>
  <c r="J60" i="2"/>
  <c r="J45" i="2"/>
  <c r="J23" i="2"/>
  <c r="J30" i="2"/>
  <c r="AV9" i="2" l="1"/>
  <c r="AW6" i="2"/>
  <c r="AV3" i="2"/>
  <c r="AU5" i="2"/>
  <c r="AU10" i="2" s="1"/>
  <c r="AU13" i="2" s="1"/>
  <c r="AU15" i="2" s="1"/>
  <c r="AU23" i="2" s="1"/>
  <c r="AV11" i="2" s="1"/>
  <c r="J40" i="2"/>
  <c r="J43" i="2" s="1"/>
  <c r="AW9" i="2" l="1"/>
  <c r="AX6" i="2"/>
  <c r="AW3" i="2"/>
  <c r="AV5" i="2"/>
  <c r="AV10" i="2" s="1"/>
  <c r="AV13" i="2" s="1"/>
  <c r="AV15" i="2" s="1"/>
  <c r="AV23" i="2" s="1"/>
  <c r="AW11" i="2" s="1"/>
  <c r="N36" i="2"/>
  <c r="N24" i="2"/>
  <c r="N73" i="2"/>
  <c r="N66" i="2"/>
  <c r="N45" i="2"/>
  <c r="N46" i="2" s="1"/>
  <c r="N60" i="2" s="1"/>
  <c r="N40" i="2"/>
  <c r="N43" i="2" s="1"/>
  <c r="N23" i="2"/>
  <c r="AY6" i="2" l="1"/>
  <c r="AX9" i="2"/>
  <c r="AX3" i="2"/>
  <c r="AW5" i="2"/>
  <c r="AW10" i="2" s="1"/>
  <c r="AW13" i="2" s="1"/>
  <c r="AW15" i="2" s="1"/>
  <c r="AW23" i="2" s="1"/>
  <c r="AX11" i="2" s="1"/>
  <c r="N75" i="2"/>
  <c r="N30" i="2"/>
  <c r="AZ6" i="2" l="1"/>
  <c r="AY9" i="2"/>
  <c r="AY3" i="2"/>
  <c r="AX5" i="2"/>
  <c r="AX10" i="2" s="1"/>
  <c r="AX13" i="2" s="1"/>
  <c r="AX15" i="2" s="1"/>
  <c r="AX23" i="2" s="1"/>
  <c r="AY11" i="2" s="1"/>
  <c r="R73" i="2"/>
  <c r="R75" i="2" s="1"/>
  <c r="R36" i="2"/>
  <c r="R24" i="2"/>
  <c r="R66" i="2"/>
  <c r="R45" i="2"/>
  <c r="R46" i="2" s="1"/>
  <c r="R60" i="2" s="1"/>
  <c r="R23" i="2"/>
  <c r="R30" i="2"/>
  <c r="V24" i="2"/>
  <c r="AO14" i="2"/>
  <c r="AO12" i="2"/>
  <c r="AO11" i="2"/>
  <c r="AP14" i="2"/>
  <c r="AO8" i="2"/>
  <c r="AO7" i="2"/>
  <c r="AO6" i="2"/>
  <c r="AO4" i="2"/>
  <c r="AP12" i="2"/>
  <c r="AP11" i="2"/>
  <c r="AP8" i="2"/>
  <c r="AP7" i="2"/>
  <c r="AP6" i="2"/>
  <c r="AP4" i="2"/>
  <c r="AQ14" i="2"/>
  <c r="AQ12" i="2"/>
  <c r="AQ11" i="2"/>
  <c r="AQ8" i="2"/>
  <c r="AQ7" i="2"/>
  <c r="AQ6" i="2"/>
  <c r="AQ4" i="2"/>
  <c r="AO3" i="2"/>
  <c r="AO5" i="2" s="1"/>
  <c r="AP3" i="2"/>
  <c r="AP5" i="2" s="1"/>
  <c r="AQ3" i="2"/>
  <c r="AC9" i="2"/>
  <c r="AN5" i="2"/>
  <c r="AM5" i="2"/>
  <c r="AR14" i="2"/>
  <c r="AR12" i="2"/>
  <c r="AR11" i="2"/>
  <c r="AR9" i="2"/>
  <c r="AR10" i="2" s="1"/>
  <c r="AR13" i="2" s="1"/>
  <c r="AR15" i="2" s="1"/>
  <c r="AR8" i="2"/>
  <c r="AR7" i="2"/>
  <c r="AR6" i="2"/>
  <c r="AR5" i="2"/>
  <c r="AR4" i="2"/>
  <c r="AR3" i="2"/>
  <c r="AR2" i="2"/>
  <c r="AS2" i="2" s="1"/>
  <c r="AT2" i="2" s="1"/>
  <c r="AU2" i="2" s="1"/>
  <c r="AV2" i="2" s="1"/>
  <c r="AW2" i="2" s="1"/>
  <c r="AX2" i="2" s="1"/>
  <c r="AY2" i="2" s="1"/>
  <c r="AZ2" i="2" s="1"/>
  <c r="BA2" i="2" s="1"/>
  <c r="BB2" i="2" s="1"/>
  <c r="BC2" i="2" s="1"/>
  <c r="AE2" i="2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D2" i="2"/>
  <c r="C73" i="2"/>
  <c r="D73" i="2"/>
  <c r="C66" i="2"/>
  <c r="C60" i="2"/>
  <c r="D66" i="2"/>
  <c r="D60" i="2"/>
  <c r="E73" i="2"/>
  <c r="E66" i="2"/>
  <c r="E60" i="2"/>
  <c r="G73" i="2"/>
  <c r="G66" i="2"/>
  <c r="G60" i="2"/>
  <c r="H73" i="2"/>
  <c r="H66" i="2"/>
  <c r="H60" i="2"/>
  <c r="I73" i="2"/>
  <c r="I66" i="2"/>
  <c r="I60" i="2"/>
  <c r="K73" i="2"/>
  <c r="K66" i="2"/>
  <c r="K60" i="2"/>
  <c r="L73" i="2"/>
  <c r="L66" i="2"/>
  <c r="L60" i="2"/>
  <c r="M73" i="2"/>
  <c r="M66" i="2"/>
  <c r="M60" i="2"/>
  <c r="O73" i="2"/>
  <c r="O66" i="2"/>
  <c r="O60" i="2"/>
  <c r="P73" i="2"/>
  <c r="P66" i="2"/>
  <c r="P60" i="2"/>
  <c r="Q73" i="2"/>
  <c r="Q66" i="2"/>
  <c r="Q60" i="2"/>
  <c r="S73" i="2"/>
  <c r="S66" i="2"/>
  <c r="S60" i="2"/>
  <c r="T73" i="2"/>
  <c r="T66" i="2"/>
  <c r="T60" i="2"/>
  <c r="T78" i="2" s="1"/>
  <c r="V36" i="2"/>
  <c r="V40" i="2" s="1"/>
  <c r="V43" i="2" s="1"/>
  <c r="V23" i="2"/>
  <c r="V73" i="2"/>
  <c r="V66" i="2"/>
  <c r="U73" i="2"/>
  <c r="BA6" i="2" l="1"/>
  <c r="AZ9" i="2"/>
  <c r="AZ3" i="2"/>
  <c r="AY5" i="2"/>
  <c r="AY10" i="2" s="1"/>
  <c r="AY13" i="2" s="1"/>
  <c r="AY15" i="2" s="1"/>
  <c r="AY23" i="2" s="1"/>
  <c r="AZ11" i="2" s="1"/>
  <c r="R40" i="2"/>
  <c r="R43" i="2" s="1"/>
  <c r="S75" i="2"/>
  <c r="AC5" i="2"/>
  <c r="AC10" i="2" s="1"/>
  <c r="AC13" i="2" s="1"/>
  <c r="AQ9" i="2"/>
  <c r="AP9" i="2"/>
  <c r="AP10" i="2" s="1"/>
  <c r="AP13" i="2" s="1"/>
  <c r="AP15" i="2" s="1"/>
  <c r="AO9" i="2"/>
  <c r="AQ5" i="2"/>
  <c r="AQ10" i="2" s="1"/>
  <c r="AQ13" i="2" s="1"/>
  <c r="AQ15" i="2" s="1"/>
  <c r="AO10" i="2"/>
  <c r="AO13" i="2" s="1"/>
  <c r="AO15" i="2" s="1"/>
  <c r="T75" i="2"/>
  <c r="V30" i="2"/>
  <c r="BB6" i="2" l="1"/>
  <c r="BA9" i="2"/>
  <c r="BA3" i="2"/>
  <c r="AZ5" i="2"/>
  <c r="AZ10" i="2" s="1"/>
  <c r="AZ13" i="2" s="1"/>
  <c r="AZ15" i="2" s="1"/>
  <c r="AZ23" i="2" s="1"/>
  <c r="BA11" i="2" s="1"/>
  <c r="U66" i="2"/>
  <c r="U60" i="2"/>
  <c r="U78" i="2" s="1"/>
  <c r="BB9" i="2" l="1"/>
  <c r="BC6" i="2"/>
  <c r="BC9" i="2" s="1"/>
  <c r="BB3" i="2"/>
  <c r="BA5" i="2"/>
  <c r="BA10" i="2" s="1"/>
  <c r="BA13" i="2" s="1"/>
  <c r="BA15" i="2" s="1"/>
  <c r="BA23" i="2" s="1"/>
  <c r="BB11" i="2" s="1"/>
  <c r="U75" i="2"/>
  <c r="C36" i="2"/>
  <c r="C23" i="2" s="1"/>
  <c r="D36" i="2"/>
  <c r="D40" i="2" s="1"/>
  <c r="D43" i="2" s="1"/>
  <c r="E36" i="2"/>
  <c r="E40" i="2" s="1"/>
  <c r="E43" i="2" s="1"/>
  <c r="H37" i="2"/>
  <c r="H40" i="2" s="1"/>
  <c r="H43" i="2" s="1"/>
  <c r="H24" i="2"/>
  <c r="H23" i="2" s="1"/>
  <c r="I24" i="2"/>
  <c r="I30" i="2" s="1"/>
  <c r="C30" i="2"/>
  <c r="E30" i="2"/>
  <c r="G40" i="2"/>
  <c r="G43" i="2" s="1"/>
  <c r="I40" i="2"/>
  <c r="I43" i="2" s="1"/>
  <c r="G23" i="2"/>
  <c r="K24" i="2"/>
  <c r="K36" i="2"/>
  <c r="K40" i="2" s="1"/>
  <c r="K43" i="2" s="1"/>
  <c r="L36" i="2"/>
  <c r="L24" i="2"/>
  <c r="L30" i="2" s="1"/>
  <c r="M36" i="2"/>
  <c r="M40" i="2" s="1"/>
  <c r="M43" i="2" s="1"/>
  <c r="M24" i="2"/>
  <c r="M30" i="2" s="1"/>
  <c r="O36" i="2"/>
  <c r="O40" i="2" s="1"/>
  <c r="O43" i="2" s="1"/>
  <c r="O24" i="2"/>
  <c r="P36" i="2"/>
  <c r="P40" i="2" s="1"/>
  <c r="P43" i="2" s="1"/>
  <c r="P24" i="2"/>
  <c r="P30" i="2" s="1"/>
  <c r="L40" i="2"/>
  <c r="L43" i="2" s="1"/>
  <c r="Q36" i="2"/>
  <c r="Q40" i="2" s="1"/>
  <c r="Q43" i="2" s="1"/>
  <c r="Q24" i="2"/>
  <c r="Q30" i="2" s="1"/>
  <c r="S36" i="2"/>
  <c r="S24" i="2"/>
  <c r="S30" i="2" s="1"/>
  <c r="T24" i="2"/>
  <c r="T30" i="2" s="1"/>
  <c r="T40" i="2"/>
  <c r="T43" i="2" s="1"/>
  <c r="U40" i="2"/>
  <c r="U43" i="2" s="1"/>
  <c r="U24" i="2"/>
  <c r="U23" i="2" s="1"/>
  <c r="C5" i="2"/>
  <c r="C20" i="2" s="1"/>
  <c r="V19" i="2"/>
  <c r="U19" i="2"/>
  <c r="T19" i="2"/>
  <c r="S19" i="2"/>
  <c r="R19" i="2"/>
  <c r="Q19" i="2"/>
  <c r="P19" i="2"/>
  <c r="O19" i="2"/>
  <c r="N19" i="2"/>
  <c r="M19" i="2"/>
  <c r="L19" i="2"/>
  <c r="K19" i="2"/>
  <c r="J19" i="2"/>
  <c r="BC3" i="2" l="1"/>
  <c r="BC5" i="2" s="1"/>
  <c r="BC10" i="2" s="1"/>
  <c r="BB5" i="2"/>
  <c r="BB10" i="2" s="1"/>
  <c r="BB13" i="2" s="1"/>
  <c r="BB15" i="2" s="1"/>
  <c r="BB23" i="2" s="1"/>
  <c r="BC11" i="2" s="1"/>
  <c r="BC13" i="2" s="1"/>
  <c r="BC15" i="2" s="1"/>
  <c r="C40" i="2"/>
  <c r="C43" i="2" s="1"/>
  <c r="L23" i="2"/>
  <c r="I23" i="2"/>
  <c r="S23" i="2"/>
  <c r="K23" i="2"/>
  <c r="M23" i="2"/>
  <c r="S40" i="2"/>
  <c r="S43" i="2" s="1"/>
  <c r="D23" i="2"/>
  <c r="U30" i="2"/>
  <c r="K30" i="2"/>
  <c r="E23" i="2"/>
  <c r="D30" i="2"/>
  <c r="G30" i="2"/>
  <c r="H30" i="2"/>
  <c r="O23" i="2"/>
  <c r="O30" i="2"/>
  <c r="P23" i="2"/>
  <c r="T23" i="2"/>
  <c r="Q23" i="2"/>
  <c r="S5" i="2"/>
  <c r="S20" i="2" s="1"/>
  <c r="V9" i="2"/>
  <c r="T9" i="2"/>
  <c r="S9" i="2"/>
  <c r="S10" i="2" s="1"/>
  <c r="S13" i="2" s="1"/>
  <c r="S15" i="2" s="1"/>
  <c r="S45" i="2" s="1"/>
  <c r="R9" i="2"/>
  <c r="Q9" i="2"/>
  <c r="P9" i="2"/>
  <c r="O9" i="2"/>
  <c r="N9" i="2"/>
  <c r="M9" i="2"/>
  <c r="L9" i="2"/>
  <c r="K9" i="2"/>
  <c r="J9" i="2"/>
  <c r="I9" i="2"/>
  <c r="H9" i="2"/>
  <c r="G9" i="2"/>
  <c r="F9" i="2"/>
  <c r="E9" i="2"/>
  <c r="D9" i="2"/>
  <c r="C9" i="2"/>
  <c r="V5" i="2"/>
  <c r="V20" i="2" s="1"/>
  <c r="T5" i="2"/>
  <c r="T20" i="2" s="1"/>
  <c r="R5" i="2"/>
  <c r="R20" i="2" s="1"/>
  <c r="Q5" i="2"/>
  <c r="Q20" i="2" s="1"/>
  <c r="P5" i="2"/>
  <c r="P20" i="2" s="1"/>
  <c r="O5" i="2"/>
  <c r="O20" i="2" s="1"/>
  <c r="N5" i="2"/>
  <c r="N20" i="2" s="1"/>
  <c r="M5" i="2"/>
  <c r="M20" i="2" s="1"/>
  <c r="L5" i="2"/>
  <c r="L20" i="2" s="1"/>
  <c r="K5" i="2"/>
  <c r="K20" i="2" s="1"/>
  <c r="J5" i="2"/>
  <c r="J20" i="2" s="1"/>
  <c r="I5" i="2"/>
  <c r="I20" i="2" s="1"/>
  <c r="H5" i="2"/>
  <c r="H20" i="2" s="1"/>
  <c r="G5" i="2"/>
  <c r="G20" i="2" s="1"/>
  <c r="F5" i="2"/>
  <c r="F20" i="2" s="1"/>
  <c r="E5" i="2"/>
  <c r="E20" i="2" s="1"/>
  <c r="D5" i="2"/>
  <c r="D20" i="2" s="1"/>
  <c r="U9" i="2"/>
  <c r="U5" i="2"/>
  <c r="BD15" i="2" l="1"/>
  <c r="BE15" i="2" s="1"/>
  <c r="BF15" i="2" s="1"/>
  <c r="BG15" i="2" s="1"/>
  <c r="BH15" i="2" s="1"/>
  <c r="BI15" i="2" s="1"/>
  <c r="BJ15" i="2" s="1"/>
  <c r="BK15" i="2" s="1"/>
  <c r="BL15" i="2" s="1"/>
  <c r="BM15" i="2" s="1"/>
  <c r="BN15" i="2" s="1"/>
  <c r="BO15" i="2" s="1"/>
  <c r="BP15" i="2" s="1"/>
  <c r="BQ15" i="2" s="1"/>
  <c r="BR15" i="2" s="1"/>
  <c r="BS15" i="2" s="1"/>
  <c r="BT15" i="2" s="1"/>
  <c r="BU15" i="2" s="1"/>
  <c r="BV15" i="2" s="1"/>
  <c r="BW15" i="2" s="1"/>
  <c r="BX15" i="2" s="1"/>
  <c r="BY15" i="2" s="1"/>
  <c r="BZ15" i="2" s="1"/>
  <c r="CA15" i="2" s="1"/>
  <c r="CB15" i="2" s="1"/>
  <c r="CC15" i="2" s="1"/>
  <c r="CD15" i="2" s="1"/>
  <c r="CE15" i="2" s="1"/>
  <c r="CF15" i="2" s="1"/>
  <c r="CG15" i="2" s="1"/>
  <c r="CH15" i="2" s="1"/>
  <c r="CI15" i="2" s="1"/>
  <c r="CJ15" i="2" s="1"/>
  <c r="CK15" i="2" s="1"/>
  <c r="CL15" i="2" s="1"/>
  <c r="CM15" i="2" s="1"/>
  <c r="CN15" i="2" s="1"/>
  <c r="CO15" i="2" s="1"/>
  <c r="CP15" i="2" s="1"/>
  <c r="CQ15" i="2" s="1"/>
  <c r="CR15" i="2" s="1"/>
  <c r="CS15" i="2" s="1"/>
  <c r="CT15" i="2" s="1"/>
  <c r="CU15" i="2" s="1"/>
  <c r="CV15" i="2" s="1"/>
  <c r="CW15" i="2" s="1"/>
  <c r="CX15" i="2" s="1"/>
  <c r="CY15" i="2" s="1"/>
  <c r="CZ15" i="2" s="1"/>
  <c r="DA15" i="2" s="1"/>
  <c r="DB15" i="2" s="1"/>
  <c r="DC15" i="2" s="1"/>
  <c r="DD15" i="2" s="1"/>
  <c r="DE15" i="2" s="1"/>
  <c r="DF15" i="2" s="1"/>
  <c r="DG15" i="2" s="1"/>
  <c r="DH15" i="2" s="1"/>
  <c r="BC23" i="2"/>
  <c r="AT25" i="2"/>
  <c r="U10" i="2"/>
  <c r="U13" i="2" s="1"/>
  <c r="U15" i="2" s="1"/>
  <c r="U45" i="2" s="1"/>
  <c r="U20" i="2"/>
  <c r="V10" i="2"/>
  <c r="V13" i="2" s="1"/>
  <c r="V15" i="2" s="1"/>
  <c r="V45" i="2" s="1"/>
  <c r="V46" i="2" s="1"/>
  <c r="V60" i="2" s="1"/>
  <c r="R10" i="2"/>
  <c r="R13" i="2" s="1"/>
  <c r="R15" i="2" s="1"/>
  <c r="N10" i="2"/>
  <c r="N13" i="2" s="1"/>
  <c r="N15" i="2" s="1"/>
  <c r="M10" i="2"/>
  <c r="M13" i="2" s="1"/>
  <c r="M15" i="2" s="1"/>
  <c r="M45" i="2" s="1"/>
  <c r="L10" i="2"/>
  <c r="L13" i="2" s="1"/>
  <c r="L15" i="2" s="1"/>
  <c r="L45" i="2" s="1"/>
  <c r="K10" i="2"/>
  <c r="K13" i="2" s="1"/>
  <c r="K15" i="2" s="1"/>
  <c r="K45" i="2" s="1"/>
  <c r="J10" i="2"/>
  <c r="J13" i="2" s="1"/>
  <c r="J15" i="2" s="1"/>
  <c r="I10" i="2"/>
  <c r="I13" i="2" s="1"/>
  <c r="I15" i="2" s="1"/>
  <c r="I45" i="2" s="1"/>
  <c r="H10" i="2"/>
  <c r="H13" i="2" s="1"/>
  <c r="H15" i="2" s="1"/>
  <c r="H45" i="2" s="1"/>
  <c r="G10" i="2"/>
  <c r="G13" i="2" s="1"/>
  <c r="G15" i="2" s="1"/>
  <c r="G45" i="2" s="1"/>
  <c r="F10" i="2"/>
  <c r="F13" i="2" s="1"/>
  <c r="F15" i="2" s="1"/>
  <c r="E10" i="2"/>
  <c r="E13" i="2" s="1"/>
  <c r="E15" i="2" s="1"/>
  <c r="E45" i="2" s="1"/>
  <c r="D10" i="2"/>
  <c r="D13" i="2" s="1"/>
  <c r="D15" i="2" s="1"/>
  <c r="D45" i="2" s="1"/>
  <c r="C10" i="2"/>
  <c r="C13" i="2" s="1"/>
  <c r="C15" i="2" s="1"/>
  <c r="C45" i="2" s="1"/>
  <c r="O10" i="2"/>
  <c r="O13" i="2" s="1"/>
  <c r="O15" i="2" s="1"/>
  <c r="O45" i="2" s="1"/>
  <c r="P10" i="2"/>
  <c r="P13" i="2" s="1"/>
  <c r="P15" i="2" s="1"/>
  <c r="P45" i="2" s="1"/>
  <c r="T10" i="2"/>
  <c r="T13" i="2" s="1"/>
  <c r="T15" i="2" s="1"/>
  <c r="T45" i="2" s="1"/>
  <c r="Q10" i="2"/>
  <c r="Q13" i="2" s="1"/>
  <c r="Q15" i="2" s="1"/>
  <c r="Q45" i="2" s="1"/>
  <c r="V78" i="2" l="1"/>
  <c r="V75" i="2"/>
  <c r="K5" i="1"/>
  <c r="K8" i="1" s="1"/>
</calcChain>
</file>

<file path=xl/sharedStrings.xml><?xml version="1.0" encoding="utf-8"?>
<sst xmlns="http://schemas.openxmlformats.org/spreadsheetml/2006/main" count="104" uniqueCount="98">
  <si>
    <t>Price</t>
  </si>
  <si>
    <t>Shares</t>
  </si>
  <si>
    <t>MC</t>
  </si>
  <si>
    <t>Cash</t>
  </si>
  <si>
    <t>Debt</t>
  </si>
  <si>
    <t>EV</t>
  </si>
  <si>
    <t>Revenue</t>
  </si>
  <si>
    <t>Technology and development</t>
  </si>
  <si>
    <t>General and administrative</t>
  </si>
  <si>
    <t>Sales and marketing</t>
  </si>
  <si>
    <t>OpIncome</t>
  </si>
  <si>
    <t>OpExpenses</t>
  </si>
  <si>
    <t>Gross Profit</t>
  </si>
  <si>
    <t>Cost Of Revenues</t>
  </si>
  <si>
    <t>Interest expense</t>
  </si>
  <si>
    <t xml:space="preserve">Interest and other </t>
  </si>
  <si>
    <t>Pretax</t>
  </si>
  <si>
    <t>Tax</t>
  </si>
  <si>
    <t>Net income</t>
  </si>
  <si>
    <t>Q121</t>
  </si>
  <si>
    <t>Q221</t>
  </si>
  <si>
    <t>Q323</t>
  </si>
  <si>
    <t>Q321</t>
  </si>
  <si>
    <t>Q421</t>
  </si>
  <si>
    <t>Q122</t>
  </si>
  <si>
    <t>Q222</t>
  </si>
  <si>
    <t>Q322</t>
  </si>
  <si>
    <t>Q422</t>
  </si>
  <si>
    <t>Q123</t>
  </si>
  <si>
    <t>Q223</t>
  </si>
  <si>
    <t>Q423</t>
  </si>
  <si>
    <t>Q124</t>
  </si>
  <si>
    <t>Q224</t>
  </si>
  <si>
    <t>Q324</t>
  </si>
  <si>
    <t>Q424</t>
  </si>
  <si>
    <t>Q125</t>
  </si>
  <si>
    <t>Q225</t>
  </si>
  <si>
    <t>Q325</t>
  </si>
  <si>
    <t>Q425</t>
  </si>
  <si>
    <t>Q126</t>
  </si>
  <si>
    <t>Q226</t>
  </si>
  <si>
    <t>Q326</t>
  </si>
  <si>
    <t>Q426</t>
  </si>
  <si>
    <t>EPS</t>
  </si>
  <si>
    <t>Revenue Growth y/y</t>
  </si>
  <si>
    <t>Gross Margin</t>
  </si>
  <si>
    <t>Net Cash</t>
  </si>
  <si>
    <t>Content assets</t>
  </si>
  <si>
    <t>Property and equipment</t>
  </si>
  <si>
    <t>Other non current assets</t>
  </si>
  <si>
    <t>Assets</t>
  </si>
  <si>
    <t>Current content liabilities</t>
  </si>
  <si>
    <t>Accounts payable</t>
  </si>
  <si>
    <t>Accrued expenses</t>
  </si>
  <si>
    <t>Deferred revenue</t>
  </si>
  <si>
    <t>Non-current content liabilities</t>
  </si>
  <si>
    <t>Other non-current liabilities</t>
  </si>
  <si>
    <t>Liabilities</t>
  </si>
  <si>
    <t>L+SE</t>
  </si>
  <si>
    <t>SE</t>
  </si>
  <si>
    <t>Other current assets</t>
  </si>
  <si>
    <t>Model NI</t>
  </si>
  <si>
    <t>Reported NI</t>
  </si>
  <si>
    <t>D&amp;A</t>
  </si>
  <si>
    <t>SBC</t>
  </si>
  <si>
    <t>Additions to content assets</t>
  </si>
  <si>
    <t>Change in content liabilities</t>
  </si>
  <si>
    <t>Amortization of content assets</t>
  </si>
  <si>
    <t>Foreign currency gain on debt</t>
  </si>
  <si>
    <t>Other non cash items</t>
  </si>
  <si>
    <t>DT</t>
  </si>
  <si>
    <t>OCA</t>
  </si>
  <si>
    <t>AP</t>
  </si>
  <si>
    <t>AE</t>
  </si>
  <si>
    <t>DR</t>
  </si>
  <si>
    <t>ONCAL</t>
  </si>
  <si>
    <t>CFFO</t>
  </si>
  <si>
    <t>P&amp;P&amp;E</t>
  </si>
  <si>
    <t>CFFI</t>
  </si>
  <si>
    <t>Proceeds from issuance CS</t>
  </si>
  <si>
    <t>CFFF</t>
  </si>
  <si>
    <t>FX</t>
  </si>
  <si>
    <t>CIC</t>
  </si>
  <si>
    <t>Purchases of Investments</t>
  </si>
  <si>
    <t>Proceeds from maturities and ivesstments</t>
  </si>
  <si>
    <t>Other investing acitivities</t>
  </si>
  <si>
    <t>Proceeds from issuance of debt</t>
  </si>
  <si>
    <t>Repurchases of common stock</t>
  </si>
  <si>
    <t xml:space="preserve">Taxes </t>
  </si>
  <si>
    <t>Other financing activities</t>
  </si>
  <si>
    <t>FCF</t>
  </si>
  <si>
    <t>FCT TTM</t>
  </si>
  <si>
    <t>Terminal</t>
  </si>
  <si>
    <t>ROIC</t>
  </si>
  <si>
    <t>NPV</t>
  </si>
  <si>
    <t>Share</t>
  </si>
  <si>
    <t xml:space="preserve">Discount </t>
  </si>
  <si>
    <t>Upside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</si>
</sst>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8" x14ac:knownFonts="1">
    <font>
      <sz val="12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Arial"/>
      <family val="2"/>
    </font>
    <font>
      <u/>
      <sz val="10"/>
      <color theme="1"/>
      <name val="Arial"/>
      <family val="2"/>
    </font>
    <font>
      <i/>
      <sz val="10"/>
      <color theme="1"/>
      <name val="Arial"/>
      <family val="2"/>
    </font>
    <font>
      <sz val="10"/>
      <color rgb="FF000000"/>
      <name val="Arial"/>
      <family val="2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5">
    <xf numFmtId="0" fontId="0" fillId="0" borderId="0" xfId="0"/>
    <xf numFmtId="3" fontId="0" fillId="0" borderId="0" xfId="0" applyNumberFormat="1"/>
    <xf numFmtId="3" fontId="1" fillId="0" borderId="0" xfId="0" applyNumberFormat="1" applyFont="1"/>
    <xf numFmtId="3" fontId="2" fillId="0" borderId="0" xfId="0" applyNumberFormat="1" applyFont="1"/>
    <xf numFmtId="3" fontId="3" fillId="0" borderId="0" xfId="0" applyNumberFormat="1" applyFont="1"/>
    <xf numFmtId="3" fontId="2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9" fontId="1" fillId="0" borderId="0" xfId="0" applyNumberFormat="1" applyFont="1" applyAlignment="1">
      <alignment horizontal="right"/>
    </xf>
    <xf numFmtId="3" fontId="5" fillId="0" borderId="0" xfId="0" applyNumberFormat="1" applyFont="1" applyAlignment="1">
      <alignment horizontal="right"/>
    </xf>
    <xf numFmtId="1" fontId="3" fillId="0" borderId="0" xfId="0" applyNumberFormat="1" applyFont="1"/>
    <xf numFmtId="3" fontId="6" fillId="0" borderId="0" xfId="0" applyNumberFormat="1" applyFont="1" applyAlignment="1">
      <alignment horizontal="right"/>
    </xf>
    <xf numFmtId="9" fontId="1" fillId="0" borderId="0" xfId="1" applyFont="1"/>
    <xf numFmtId="8" fontId="1" fillId="0" borderId="0" xfId="1" applyNumberFormat="1" applyFont="1"/>
    <xf numFmtId="9" fontId="2" fillId="0" borderId="0" xfId="0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22</xdr:col>
      <xdr:colOff>0</xdr:colOff>
      <xdr:row>0</xdr:row>
      <xdr:rowOff>0</xdr:rowOff>
    </xdr:from>
    <xdr:to>
      <xdr:col>22</xdr:col>
      <xdr:colOff>0</xdr:colOff>
      <xdr:row>80</xdr:row>
      <xdr:rowOff>152400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8AE8DA01-3E54-AA44-F85A-33B32224EAEE}"/>
            </a:ext>
          </a:extLst>
        </xdr:cNvPr>
        <xdr:cNvCxnSpPr/>
      </xdr:nvCxnSpPr>
      <xdr:spPr>
        <a:xfrm>
          <a:off x="19583400" y="0"/>
          <a:ext cx="0" cy="12395200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44</xdr:col>
      <xdr:colOff>0</xdr:colOff>
      <xdr:row>0</xdr:row>
      <xdr:rowOff>41413</xdr:rowOff>
    </xdr:from>
    <xdr:to>
      <xdr:col>44</xdr:col>
      <xdr:colOff>0</xdr:colOff>
      <xdr:row>76</xdr:row>
      <xdr:rowOff>110435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B4CA76BD-915B-3B80-B2B3-FDC15000348D}"/>
            </a:ext>
          </a:extLst>
        </xdr:cNvPr>
        <xdr:cNvCxnSpPr/>
      </xdr:nvCxnSpPr>
      <xdr:spPr>
        <a:xfrm>
          <a:off x="38251848" y="41413"/>
          <a:ext cx="0" cy="12686196"/>
        </a:xfrm>
        <a:prstGeom prst="line">
          <a:avLst/>
        </a:prstGeom>
      </xdr:spPr>
      <xdr:style>
        <a:lnRef idx="2">
          <a:schemeClr val="dk1"/>
        </a:lnRef>
        <a:fillRef idx="0">
          <a:schemeClr val="dk1"/>
        </a:fillRef>
        <a:effectRef idx="1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472637-04C3-D546-B7D5-B73335D0AD99}">
  <dimension ref="J3:L8"/>
  <sheetViews>
    <sheetView topLeftCell="E1" workbookViewId="0">
      <selection activeCell="S34" sqref="S34"/>
    </sheetView>
  </sheetViews>
  <sheetFormatPr defaultColWidth="10.875" defaultRowHeight="15.75" x14ac:dyDescent="0.25"/>
  <cols>
    <col min="1" max="10" width="10.875" style="1"/>
    <col min="11" max="11" width="16.875" style="1" customWidth="1"/>
    <col min="12" max="16384" width="10.875" style="1"/>
  </cols>
  <sheetData>
    <row r="3" spans="10:12" x14ac:dyDescent="0.25">
      <c r="J3" s="1" t="s">
        <v>0</v>
      </c>
      <c r="K3" s="1">
        <v>77</v>
      </c>
    </row>
    <row r="4" spans="10:12" x14ac:dyDescent="0.25">
      <c r="J4" s="1" t="s">
        <v>1</v>
      </c>
      <c r="K4" s="1">
        <v>4222162</v>
      </c>
      <c r="L4" s="1" t="s">
        <v>38</v>
      </c>
    </row>
    <row r="5" spans="10:12" x14ac:dyDescent="0.25">
      <c r="J5" s="1" t="s">
        <v>2</v>
      </c>
      <c r="K5" s="1">
        <f>K4*K3</f>
        <v>325106474</v>
      </c>
    </row>
    <row r="6" spans="10:12" x14ac:dyDescent="0.25">
      <c r="J6" s="1" t="s">
        <v>3</v>
      </c>
      <c r="K6" s="1">
        <f>9033681+28678</f>
        <v>9062359</v>
      </c>
      <c r="L6" s="1" t="s">
        <v>38</v>
      </c>
    </row>
    <row r="7" spans="10:12" x14ac:dyDescent="0.25">
      <c r="J7" s="1" t="s">
        <v>4</v>
      </c>
      <c r="K7" s="1">
        <f>998865+13463971</f>
        <v>14462836</v>
      </c>
      <c r="L7" s="1" t="s">
        <v>38</v>
      </c>
    </row>
    <row r="8" spans="10:12" x14ac:dyDescent="0.25">
      <c r="J8" s="1" t="s">
        <v>5</v>
      </c>
      <c r="K8" s="1">
        <f>K5+K7-K6</f>
        <v>330506951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6E14F-A8E6-9948-97A9-7680EC20D896}">
  <dimension ref="B1:DJ126"/>
  <sheetViews>
    <sheetView tabSelected="1" zoomScaleNormal="100" workbookViewId="0">
      <pane xSplit="2" ySplit="2" topLeftCell="AR8" activePane="bottomRight" state="frozen"/>
      <selection pane="topRight" activeCell="C1" sqref="C1"/>
      <selection pane="bottomLeft" activeCell="A3" sqref="A3"/>
      <selection pane="bottomRight" activeCell="AT29" sqref="AT29"/>
    </sheetView>
  </sheetViews>
  <sheetFormatPr defaultColWidth="10.875" defaultRowHeight="12.75" x14ac:dyDescent="0.2"/>
  <cols>
    <col min="1" max="1" width="10.875" style="2"/>
    <col min="2" max="2" width="33.875" style="2" bestFit="1" customWidth="1"/>
    <col min="3" max="3" width="11.5" style="2" bestFit="1" customWidth="1"/>
    <col min="4" max="21" width="10.875" style="2"/>
    <col min="22" max="22" width="11" style="2" customWidth="1"/>
    <col min="23" max="45" width="10.875" style="2"/>
    <col min="46" max="46" width="14.25" style="2" customWidth="1"/>
    <col min="47" max="16384" width="10.875" style="2"/>
  </cols>
  <sheetData>
    <row r="1" spans="2:114" ht="14.25" x14ac:dyDescent="0.2"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  <c r="AY1" s="4"/>
      <c r="AZ1" s="4"/>
      <c r="BA1" s="4"/>
      <c r="BB1" s="4"/>
      <c r="BC1" s="4"/>
      <c r="BD1" s="4"/>
      <c r="BE1" s="4"/>
      <c r="BF1" s="4"/>
      <c r="BG1" s="4"/>
      <c r="BH1" s="4"/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4"/>
      <c r="CF1" s="4"/>
      <c r="CG1" s="4"/>
      <c r="CH1" s="4"/>
      <c r="CI1" s="4"/>
      <c r="CJ1" s="4"/>
      <c r="CK1" s="4"/>
      <c r="CL1" s="4"/>
      <c r="CM1" s="4"/>
      <c r="CN1" s="4"/>
      <c r="CO1" s="4"/>
      <c r="CP1" s="4"/>
      <c r="CQ1" s="4"/>
      <c r="CR1" s="4"/>
      <c r="CS1" s="4"/>
      <c r="CT1" s="4"/>
      <c r="CU1" s="4"/>
      <c r="CV1" s="4"/>
      <c r="CW1" s="4"/>
      <c r="CX1" s="4"/>
      <c r="CY1" s="4"/>
      <c r="CZ1" s="4"/>
      <c r="DA1" s="4"/>
      <c r="DB1" s="4"/>
      <c r="DC1" s="4"/>
      <c r="DD1" s="4"/>
      <c r="DE1" s="4"/>
      <c r="DF1" s="4"/>
      <c r="DG1" s="4"/>
      <c r="DH1" s="4"/>
      <c r="DI1" s="4"/>
      <c r="DJ1" s="4"/>
    </row>
    <row r="2" spans="2:114" ht="14.25" x14ac:dyDescent="0.2">
      <c r="C2" s="4" t="s">
        <v>19</v>
      </c>
      <c r="D2" s="4" t="s">
        <v>20</v>
      </c>
      <c r="E2" s="4" t="s">
        <v>22</v>
      </c>
      <c r="F2" s="4" t="s">
        <v>23</v>
      </c>
      <c r="G2" s="4" t="s">
        <v>24</v>
      </c>
      <c r="H2" s="4" t="s">
        <v>25</v>
      </c>
      <c r="I2" s="4" t="s">
        <v>26</v>
      </c>
      <c r="J2" s="4" t="s">
        <v>27</v>
      </c>
      <c r="K2" s="4" t="s">
        <v>28</v>
      </c>
      <c r="L2" s="4" t="s">
        <v>29</v>
      </c>
      <c r="M2" s="4" t="s">
        <v>21</v>
      </c>
      <c r="N2" s="4" t="s">
        <v>30</v>
      </c>
      <c r="O2" s="4" t="s">
        <v>31</v>
      </c>
      <c r="P2" s="4" t="s">
        <v>32</v>
      </c>
      <c r="Q2" s="4" t="s">
        <v>33</v>
      </c>
      <c r="R2" s="4" t="s">
        <v>34</v>
      </c>
      <c r="S2" s="4" t="s">
        <v>35</v>
      </c>
      <c r="T2" s="4" t="s">
        <v>36</v>
      </c>
      <c r="U2" s="4" t="s">
        <v>37</v>
      </c>
      <c r="V2" s="4" t="s">
        <v>38</v>
      </c>
      <c r="W2" s="4" t="s">
        <v>39</v>
      </c>
      <c r="X2" s="4" t="s">
        <v>40</v>
      </c>
      <c r="Y2" s="4" t="s">
        <v>41</v>
      </c>
      <c r="Z2" s="4" t="s">
        <v>42</v>
      </c>
      <c r="AA2" s="4"/>
      <c r="AB2" s="4"/>
      <c r="AC2" s="10">
        <v>2010</v>
      </c>
      <c r="AD2" s="10">
        <f>AC2+1</f>
        <v>2011</v>
      </c>
      <c r="AE2" s="10">
        <f t="shared" ref="AE2:BC2" si="0">AD2+1</f>
        <v>2012</v>
      </c>
      <c r="AF2" s="10">
        <f t="shared" si="0"/>
        <v>2013</v>
      </c>
      <c r="AG2" s="10">
        <f t="shared" si="0"/>
        <v>2014</v>
      </c>
      <c r="AH2" s="10">
        <f t="shared" si="0"/>
        <v>2015</v>
      </c>
      <c r="AI2" s="10">
        <f t="shared" si="0"/>
        <v>2016</v>
      </c>
      <c r="AJ2" s="10">
        <f t="shared" si="0"/>
        <v>2017</v>
      </c>
      <c r="AK2" s="10">
        <f t="shared" si="0"/>
        <v>2018</v>
      </c>
      <c r="AL2" s="10">
        <f t="shared" si="0"/>
        <v>2019</v>
      </c>
      <c r="AM2" s="10">
        <f t="shared" si="0"/>
        <v>2020</v>
      </c>
      <c r="AN2" s="10">
        <f t="shared" si="0"/>
        <v>2021</v>
      </c>
      <c r="AO2" s="10">
        <f t="shared" si="0"/>
        <v>2022</v>
      </c>
      <c r="AP2" s="10">
        <f t="shared" si="0"/>
        <v>2023</v>
      </c>
      <c r="AQ2" s="10">
        <f t="shared" si="0"/>
        <v>2024</v>
      </c>
      <c r="AR2" s="10">
        <f t="shared" si="0"/>
        <v>2025</v>
      </c>
      <c r="AS2" s="10">
        <f t="shared" si="0"/>
        <v>2026</v>
      </c>
      <c r="AT2" s="10">
        <f t="shared" si="0"/>
        <v>2027</v>
      </c>
      <c r="AU2" s="10">
        <f t="shared" si="0"/>
        <v>2028</v>
      </c>
      <c r="AV2" s="10">
        <f t="shared" si="0"/>
        <v>2029</v>
      </c>
      <c r="AW2" s="10">
        <f t="shared" si="0"/>
        <v>2030</v>
      </c>
      <c r="AX2" s="10">
        <f t="shared" si="0"/>
        <v>2031</v>
      </c>
      <c r="AY2" s="10">
        <f t="shared" si="0"/>
        <v>2032</v>
      </c>
      <c r="AZ2" s="10">
        <f t="shared" si="0"/>
        <v>2033</v>
      </c>
      <c r="BA2" s="10">
        <f t="shared" si="0"/>
        <v>2034</v>
      </c>
      <c r="BB2" s="10">
        <f t="shared" si="0"/>
        <v>2035</v>
      </c>
      <c r="BC2" s="10">
        <f t="shared" si="0"/>
        <v>2036</v>
      </c>
      <c r="BD2" s="10"/>
      <c r="BE2" s="10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</row>
    <row r="3" spans="2:114" x14ac:dyDescent="0.2">
      <c r="B3" s="3" t="s">
        <v>6</v>
      </c>
      <c r="C3" s="5">
        <v>7163282</v>
      </c>
      <c r="D3" s="5">
        <v>7341777</v>
      </c>
      <c r="E3" s="5">
        <v>7483467</v>
      </c>
      <c r="F3" s="5">
        <v>7709318</v>
      </c>
      <c r="G3" s="5">
        <v>7867767</v>
      </c>
      <c r="H3" s="5">
        <v>7970141</v>
      </c>
      <c r="I3" s="5">
        <v>7925589</v>
      </c>
      <c r="J3" s="5">
        <v>7852053</v>
      </c>
      <c r="K3" s="5">
        <v>8161503</v>
      </c>
      <c r="L3" s="5">
        <v>8187301</v>
      </c>
      <c r="M3" s="5">
        <v>8541668</v>
      </c>
      <c r="N3" s="5">
        <v>8832825</v>
      </c>
      <c r="O3" s="5">
        <v>9370440</v>
      </c>
      <c r="P3" s="5">
        <v>9559310</v>
      </c>
      <c r="Q3" s="5">
        <v>9824703</v>
      </c>
      <c r="R3" s="5">
        <v>10246513</v>
      </c>
      <c r="S3" s="5">
        <v>10542801</v>
      </c>
      <c r="T3" s="5">
        <v>11079166</v>
      </c>
      <c r="U3" s="5">
        <v>11510307</v>
      </c>
      <c r="V3" s="5">
        <v>12050762</v>
      </c>
      <c r="W3" s="5">
        <f>S3*1.1</f>
        <v>11597081.100000001</v>
      </c>
      <c r="X3" s="5">
        <f t="shared" ref="X3:Z4" si="1">T3*1.1</f>
        <v>12187082.600000001</v>
      </c>
      <c r="Y3" s="5">
        <f t="shared" si="1"/>
        <v>12661337.700000001</v>
      </c>
      <c r="Z3" s="5">
        <f t="shared" si="1"/>
        <v>13255838.200000001</v>
      </c>
      <c r="AC3" s="2">
        <v>2162625</v>
      </c>
      <c r="AD3" s="2">
        <v>3204577</v>
      </c>
      <c r="AE3" s="2">
        <v>3609282</v>
      </c>
      <c r="AF3" s="2">
        <v>4374562</v>
      </c>
      <c r="AG3" s="2">
        <v>5504656</v>
      </c>
      <c r="AH3" s="2">
        <v>6779511</v>
      </c>
      <c r="AI3" s="2">
        <v>8830669</v>
      </c>
      <c r="AJ3" s="2">
        <v>11692713</v>
      </c>
      <c r="AK3" s="2">
        <v>15794341</v>
      </c>
      <c r="AL3" s="2">
        <v>20156447</v>
      </c>
      <c r="AM3" s="2">
        <v>24996056</v>
      </c>
      <c r="AN3" s="2">
        <v>29697844</v>
      </c>
      <c r="AO3" s="2">
        <f>SUM(G3:J3)</f>
        <v>31615550</v>
      </c>
      <c r="AP3" s="2">
        <f>SUM(K3:N3)</f>
        <v>33723297</v>
      </c>
      <c r="AQ3" s="2">
        <f>SUM(O3:R3)</f>
        <v>39000966</v>
      </c>
      <c r="AR3" s="2">
        <f>SUM(S3:V3)</f>
        <v>45183036</v>
      </c>
      <c r="AS3" s="2">
        <f>AR3*1.1</f>
        <v>49701339.600000001</v>
      </c>
      <c r="AT3" s="2">
        <f t="shared" ref="AT3:BC3" si="2">AS3*1.1</f>
        <v>54671473.560000002</v>
      </c>
      <c r="AU3" s="2">
        <f t="shared" si="2"/>
        <v>60138620.916000009</v>
      </c>
      <c r="AV3" s="2">
        <f t="shared" si="2"/>
        <v>66152483.007600017</v>
      </c>
      <c r="AW3" s="2">
        <f t="shared" si="2"/>
        <v>72767731.308360025</v>
      </c>
      <c r="AX3" s="2">
        <f t="shared" si="2"/>
        <v>80044504.439196035</v>
      </c>
      <c r="AY3" s="2">
        <f t="shared" si="2"/>
        <v>88048954.883115649</v>
      </c>
      <c r="AZ3" s="2">
        <f t="shared" si="2"/>
        <v>96853850.371427223</v>
      </c>
      <c r="BA3" s="2">
        <f t="shared" si="2"/>
        <v>106539235.40856995</v>
      </c>
      <c r="BB3" s="2">
        <f t="shared" si="2"/>
        <v>117193158.94942695</v>
      </c>
      <c r="BC3" s="2">
        <f t="shared" si="2"/>
        <v>128912474.84436965</v>
      </c>
    </row>
    <row r="4" spans="2:114" x14ac:dyDescent="0.2">
      <c r="B4" s="2" t="s">
        <v>13</v>
      </c>
      <c r="C4" s="6">
        <v>3868511</v>
      </c>
      <c r="D4" s="6">
        <v>4018008</v>
      </c>
      <c r="E4" s="6">
        <v>4206589</v>
      </c>
      <c r="F4" s="6">
        <v>5239575</v>
      </c>
      <c r="G4" s="6">
        <v>4284705</v>
      </c>
      <c r="H4" s="6">
        <v>4690755</v>
      </c>
      <c r="I4" s="6">
        <v>4788665</v>
      </c>
      <c r="J4" s="6">
        <v>5404160</v>
      </c>
      <c r="K4" s="6">
        <v>4803625</v>
      </c>
      <c r="L4" s="6">
        <v>4673470</v>
      </c>
      <c r="M4" s="6">
        <v>4930788</v>
      </c>
      <c r="N4" s="6">
        <v>5307485</v>
      </c>
      <c r="O4" s="6">
        <v>4977073</v>
      </c>
      <c r="P4" s="6">
        <v>5174143</v>
      </c>
      <c r="Q4" s="6">
        <v>5119884</v>
      </c>
      <c r="R4" s="6">
        <v>5767364</v>
      </c>
      <c r="S4" s="6">
        <v>5263147</v>
      </c>
      <c r="T4" s="6">
        <v>5325311</v>
      </c>
      <c r="U4" s="6">
        <v>6164250</v>
      </c>
      <c r="V4" s="6">
        <v>6522621</v>
      </c>
      <c r="W4" s="6">
        <f>S4*1.1</f>
        <v>5789461.7000000002</v>
      </c>
      <c r="X4" s="6">
        <f t="shared" si="1"/>
        <v>5857842.1000000006</v>
      </c>
      <c r="Y4" s="6">
        <f t="shared" si="1"/>
        <v>6780675.0000000009</v>
      </c>
      <c r="Z4" s="6">
        <f t="shared" si="1"/>
        <v>7174883.1000000006</v>
      </c>
      <c r="AC4" s="2">
        <v>1357355</v>
      </c>
      <c r="AD4" s="2">
        <v>2039901</v>
      </c>
      <c r="AE4" s="2">
        <v>2625866</v>
      </c>
      <c r="AF4" s="2">
        <v>3117203</v>
      </c>
      <c r="AG4" s="2">
        <v>3752760</v>
      </c>
      <c r="AH4" s="2">
        <v>4591476</v>
      </c>
      <c r="AI4" s="2">
        <v>6257462</v>
      </c>
      <c r="AJ4" s="2">
        <v>8033000</v>
      </c>
      <c r="AK4" s="2">
        <v>9967538</v>
      </c>
      <c r="AL4" s="2">
        <v>12440213</v>
      </c>
      <c r="AM4" s="2">
        <v>15276319</v>
      </c>
      <c r="AN4" s="2">
        <v>17332683</v>
      </c>
      <c r="AO4" s="2">
        <f>SUM(G4:J4)</f>
        <v>19168285</v>
      </c>
      <c r="AP4" s="2">
        <f>SUM(K4:N4)</f>
        <v>19715368</v>
      </c>
      <c r="AQ4" s="2">
        <f>SUM(O4:R4)</f>
        <v>21038464</v>
      </c>
      <c r="AR4" s="2">
        <f>SUM(S4:V4)</f>
        <v>23275329</v>
      </c>
      <c r="AS4" s="2">
        <f>AR4*1.1</f>
        <v>25602861.900000002</v>
      </c>
      <c r="AT4" s="2">
        <f t="shared" ref="AT4:BC4" si="3">AS4*1.1</f>
        <v>28163148.090000004</v>
      </c>
      <c r="AU4" s="2">
        <f t="shared" si="3"/>
        <v>30979462.899000008</v>
      </c>
      <c r="AV4" s="2">
        <f t="shared" si="3"/>
        <v>34077409.188900009</v>
      </c>
      <c r="AW4" s="2">
        <f t="shared" si="3"/>
        <v>37485150.107790016</v>
      </c>
      <c r="AX4" s="2">
        <f t="shared" si="3"/>
        <v>41233665.118569024</v>
      </c>
      <c r="AY4" s="2">
        <f t="shared" si="3"/>
        <v>45357031.63042593</v>
      </c>
      <c r="AZ4" s="2">
        <f t="shared" si="3"/>
        <v>49892734.793468527</v>
      </c>
      <c r="BA4" s="2">
        <f t="shared" si="3"/>
        <v>54882008.272815384</v>
      </c>
      <c r="BB4" s="2">
        <f t="shared" si="3"/>
        <v>60370209.100096926</v>
      </c>
      <c r="BC4" s="2">
        <f t="shared" si="3"/>
        <v>66407230.010106623</v>
      </c>
    </row>
    <row r="5" spans="2:114" x14ac:dyDescent="0.2">
      <c r="B5" s="2" t="s">
        <v>12</v>
      </c>
      <c r="C5" s="6">
        <f>C3-C4</f>
        <v>3294771</v>
      </c>
      <c r="D5" s="6">
        <f t="shared" ref="D5:T5" si="4">D3-D4</f>
        <v>3323769</v>
      </c>
      <c r="E5" s="6">
        <f t="shared" si="4"/>
        <v>3276878</v>
      </c>
      <c r="F5" s="6">
        <f t="shared" si="4"/>
        <v>2469743</v>
      </c>
      <c r="G5" s="6">
        <f t="shared" si="4"/>
        <v>3583062</v>
      </c>
      <c r="H5" s="6">
        <f t="shared" si="4"/>
        <v>3279386</v>
      </c>
      <c r="I5" s="6">
        <f t="shared" si="4"/>
        <v>3136924</v>
      </c>
      <c r="J5" s="6">
        <f t="shared" si="4"/>
        <v>2447893</v>
      </c>
      <c r="K5" s="6">
        <f t="shared" si="4"/>
        <v>3357878</v>
      </c>
      <c r="L5" s="6">
        <f t="shared" si="4"/>
        <v>3513831</v>
      </c>
      <c r="M5" s="6">
        <f t="shared" si="4"/>
        <v>3610880</v>
      </c>
      <c r="N5" s="6">
        <f t="shared" si="4"/>
        <v>3525340</v>
      </c>
      <c r="O5" s="6">
        <f t="shared" si="4"/>
        <v>4393367</v>
      </c>
      <c r="P5" s="6">
        <f t="shared" si="4"/>
        <v>4385167</v>
      </c>
      <c r="Q5" s="6">
        <f t="shared" si="4"/>
        <v>4704819</v>
      </c>
      <c r="R5" s="6">
        <f t="shared" si="4"/>
        <v>4479149</v>
      </c>
      <c r="S5" s="6">
        <f t="shared" si="4"/>
        <v>5279654</v>
      </c>
      <c r="T5" s="6">
        <f t="shared" si="4"/>
        <v>5753855</v>
      </c>
      <c r="U5" s="6">
        <f>U3-U4</f>
        <v>5346057</v>
      </c>
      <c r="V5" s="6">
        <f t="shared" ref="V5:X5" si="5">V3-V4</f>
        <v>5528141</v>
      </c>
      <c r="W5" s="6">
        <f t="shared" si="5"/>
        <v>5807619.4000000013</v>
      </c>
      <c r="X5" s="6">
        <f t="shared" si="5"/>
        <v>6329240.5000000009</v>
      </c>
      <c r="Y5" s="6">
        <f>Y3-Y4</f>
        <v>5880662.7000000002</v>
      </c>
      <c r="Z5" s="6">
        <f t="shared" ref="Z5" si="6">Z3-Z4</f>
        <v>6080955.1000000006</v>
      </c>
      <c r="AC5" s="2">
        <f t="shared" ref="AC5:AQ5" si="7">AC3-AC4</f>
        <v>805270</v>
      </c>
      <c r="AD5" s="2">
        <f t="shared" ref="AD5:AG5" si="8">AD3-AD4</f>
        <v>1164676</v>
      </c>
      <c r="AE5" s="2">
        <f t="shared" si="8"/>
        <v>983416</v>
      </c>
      <c r="AF5" s="2">
        <f t="shared" si="8"/>
        <v>1257359</v>
      </c>
      <c r="AG5" s="2">
        <f t="shared" si="8"/>
        <v>1751896</v>
      </c>
      <c r="AH5" s="2">
        <f t="shared" ref="AH5:AL5" si="9">AH3-AH4</f>
        <v>2188035</v>
      </c>
      <c r="AI5" s="2">
        <f t="shared" si="9"/>
        <v>2573207</v>
      </c>
      <c r="AJ5" s="2">
        <f t="shared" si="9"/>
        <v>3659713</v>
      </c>
      <c r="AK5" s="2">
        <f t="shared" si="9"/>
        <v>5826803</v>
      </c>
      <c r="AL5" s="2">
        <f t="shared" si="9"/>
        <v>7716234</v>
      </c>
      <c r="AM5" s="2">
        <f t="shared" si="7"/>
        <v>9719737</v>
      </c>
      <c r="AN5" s="2">
        <f t="shared" si="7"/>
        <v>12365161</v>
      </c>
      <c r="AO5" s="2">
        <f t="shared" si="7"/>
        <v>12447265</v>
      </c>
      <c r="AP5" s="2">
        <f t="shared" si="7"/>
        <v>14007929</v>
      </c>
      <c r="AQ5" s="2">
        <f t="shared" si="7"/>
        <v>17962502</v>
      </c>
      <c r="AR5" s="2">
        <f>AR3-AR4</f>
        <v>21907707</v>
      </c>
      <c r="AS5" s="2">
        <f t="shared" ref="AS5" si="10">AS3-AS4</f>
        <v>24098477.699999999</v>
      </c>
      <c r="AT5" s="2">
        <f t="shared" ref="AT5:BC5" si="11">AT3-AT4</f>
        <v>26508325.469999999</v>
      </c>
      <c r="AU5" s="2">
        <f t="shared" si="11"/>
        <v>29159158.017000001</v>
      </c>
      <c r="AV5" s="2">
        <f t="shared" si="11"/>
        <v>32075073.818700008</v>
      </c>
      <c r="AW5" s="2">
        <f t="shared" si="11"/>
        <v>35282581.20057001</v>
      </c>
      <c r="AX5" s="2">
        <f t="shared" si="11"/>
        <v>38810839.320627011</v>
      </c>
      <c r="AY5" s="2">
        <f t="shared" si="11"/>
        <v>42691923.252689719</v>
      </c>
      <c r="AZ5" s="2">
        <f t="shared" si="11"/>
        <v>46961115.577958696</v>
      </c>
      <c r="BA5" s="2">
        <f t="shared" si="11"/>
        <v>51657227.135754563</v>
      </c>
      <c r="BB5" s="2">
        <f t="shared" si="11"/>
        <v>56822949.849330023</v>
      </c>
      <c r="BC5" s="2">
        <f t="shared" si="11"/>
        <v>62505244.834263027</v>
      </c>
    </row>
    <row r="6" spans="2:114" x14ac:dyDescent="0.2">
      <c r="B6" s="2" t="s">
        <v>9</v>
      </c>
      <c r="C6" s="6">
        <v>512512</v>
      </c>
      <c r="D6" s="6">
        <v>603973</v>
      </c>
      <c r="E6" s="6">
        <v>635948</v>
      </c>
      <c r="F6" s="6">
        <v>792713</v>
      </c>
      <c r="G6" s="6">
        <v>555978</v>
      </c>
      <c r="H6" s="6">
        <v>574960</v>
      </c>
      <c r="I6" s="6">
        <v>567954</v>
      </c>
      <c r="J6" s="6">
        <v>831610</v>
      </c>
      <c r="K6" s="6">
        <v>555362</v>
      </c>
      <c r="L6" s="6">
        <v>627168</v>
      </c>
      <c r="M6" s="6">
        <v>558736</v>
      </c>
      <c r="N6" s="6">
        <v>916617</v>
      </c>
      <c r="O6" s="6">
        <v>654340</v>
      </c>
      <c r="P6" s="6">
        <v>644084</v>
      </c>
      <c r="Q6" s="6">
        <v>642926</v>
      </c>
      <c r="R6" s="6">
        <v>976204</v>
      </c>
      <c r="S6" s="6">
        <v>688370</v>
      </c>
      <c r="T6" s="6">
        <v>713265</v>
      </c>
      <c r="U6" s="6">
        <v>786295</v>
      </c>
      <c r="V6" s="6">
        <v>1113376</v>
      </c>
      <c r="W6" s="6">
        <f t="shared" ref="W6:W8" si="12">S6*1.1</f>
        <v>757207.00000000012</v>
      </c>
      <c r="X6" s="6">
        <f t="shared" ref="X6:X8" si="13">T6*1.1</f>
        <v>784591.50000000012</v>
      </c>
      <c r="Y6" s="6">
        <f t="shared" ref="Y6:Y8" si="14">U6*1.1</f>
        <v>864924.50000000012</v>
      </c>
      <c r="Z6" s="6">
        <f t="shared" ref="Z6:Z8" si="15">V6*1.1</f>
        <v>1224713.6000000001</v>
      </c>
      <c r="AC6" s="2">
        <v>293839</v>
      </c>
      <c r="AD6" s="2">
        <v>402638</v>
      </c>
      <c r="AE6" s="2">
        <v>484729</v>
      </c>
      <c r="AF6" s="2">
        <v>469942</v>
      </c>
      <c r="AG6" s="2">
        <v>607186</v>
      </c>
      <c r="AH6" s="2">
        <v>824092</v>
      </c>
      <c r="AI6" s="2">
        <v>1097519</v>
      </c>
      <c r="AJ6" s="2">
        <v>1436281</v>
      </c>
      <c r="AK6" s="2">
        <v>2369469</v>
      </c>
      <c r="AL6" s="2">
        <v>2652462</v>
      </c>
      <c r="AM6" s="2">
        <v>2228362</v>
      </c>
      <c r="AN6" s="2">
        <v>2545146</v>
      </c>
      <c r="AO6" s="2">
        <f>SUM(G6:J6)</f>
        <v>2530502</v>
      </c>
      <c r="AP6" s="2">
        <f>SUM(K6:N6)</f>
        <v>2657883</v>
      </c>
      <c r="AQ6" s="2">
        <f>SUM(O6:R6)</f>
        <v>2917554</v>
      </c>
      <c r="AR6" s="2">
        <f t="shared" ref="AR6:AR8" si="16">SUM(S6:V6)</f>
        <v>3301306</v>
      </c>
      <c r="AS6" s="2">
        <f>AR6*1.1</f>
        <v>3631436.6</v>
      </c>
      <c r="AT6" s="2">
        <f t="shared" ref="AT6:BC6" si="17">AS6*1.1</f>
        <v>3994580.2600000002</v>
      </c>
      <c r="AU6" s="2">
        <f t="shared" si="17"/>
        <v>4394038.2860000003</v>
      </c>
      <c r="AV6" s="2">
        <f t="shared" si="17"/>
        <v>4833442.1146000009</v>
      </c>
      <c r="AW6" s="2">
        <f t="shared" si="17"/>
        <v>5316786.3260600017</v>
      </c>
      <c r="AX6" s="2">
        <f t="shared" si="17"/>
        <v>5848464.9586660024</v>
      </c>
      <c r="AY6" s="2">
        <f t="shared" si="17"/>
        <v>6433311.4545326028</v>
      </c>
      <c r="AZ6" s="2">
        <f t="shared" si="17"/>
        <v>7076642.599985864</v>
      </c>
      <c r="BA6" s="2">
        <f t="shared" si="17"/>
        <v>7784306.859984451</v>
      </c>
      <c r="BB6" s="2">
        <f t="shared" si="17"/>
        <v>8562737.5459828973</v>
      </c>
      <c r="BC6" s="2">
        <f t="shared" si="17"/>
        <v>9419011.300581187</v>
      </c>
    </row>
    <row r="7" spans="2:114" x14ac:dyDescent="0.2">
      <c r="B7" s="2" t="s">
        <v>7</v>
      </c>
      <c r="C7" s="6">
        <v>525207</v>
      </c>
      <c r="D7" s="6">
        <v>537321</v>
      </c>
      <c r="E7" s="6">
        <v>563887</v>
      </c>
      <c r="F7" s="6">
        <v>647470</v>
      </c>
      <c r="G7" s="6">
        <v>657530</v>
      </c>
      <c r="H7" s="6">
        <v>716846</v>
      </c>
      <c r="I7" s="6">
        <v>662739</v>
      </c>
      <c r="J7" s="6">
        <v>673926</v>
      </c>
      <c r="K7" s="6">
        <v>687275</v>
      </c>
      <c r="L7" s="6">
        <v>657983</v>
      </c>
      <c r="M7" s="6">
        <v>657159</v>
      </c>
      <c r="N7" s="6">
        <v>673341</v>
      </c>
      <c r="O7" s="6">
        <v>702473</v>
      </c>
      <c r="P7" s="6">
        <v>711254</v>
      </c>
      <c r="Q7" s="6">
        <v>735063</v>
      </c>
      <c r="R7" s="6">
        <v>776505</v>
      </c>
      <c r="S7" s="6">
        <v>822823</v>
      </c>
      <c r="T7" s="6">
        <v>824683</v>
      </c>
      <c r="U7" s="6">
        <v>853584</v>
      </c>
      <c r="V7" s="6">
        <v>890300</v>
      </c>
      <c r="W7" s="6">
        <f t="shared" si="12"/>
        <v>905105.3</v>
      </c>
      <c r="X7" s="6">
        <f t="shared" si="13"/>
        <v>907151.3</v>
      </c>
      <c r="Y7" s="6">
        <f t="shared" si="14"/>
        <v>938942.4</v>
      </c>
      <c r="Z7" s="6">
        <f t="shared" si="15"/>
        <v>979330.00000000012</v>
      </c>
      <c r="AC7" s="2">
        <v>163329</v>
      </c>
      <c r="AD7" s="2">
        <v>259033</v>
      </c>
      <c r="AE7" s="2">
        <v>329008</v>
      </c>
      <c r="AF7" s="2">
        <v>378769</v>
      </c>
      <c r="AG7" s="2">
        <v>472321</v>
      </c>
      <c r="AH7" s="2">
        <v>650788</v>
      </c>
      <c r="AI7" s="2">
        <v>780232</v>
      </c>
      <c r="AJ7" s="2">
        <v>953710</v>
      </c>
      <c r="AK7" s="2">
        <v>1221814</v>
      </c>
      <c r="AL7" s="2">
        <v>1545149</v>
      </c>
      <c r="AM7" s="2">
        <v>1829600</v>
      </c>
      <c r="AN7" s="2">
        <v>2273885</v>
      </c>
      <c r="AO7" s="2">
        <f>SUM(G7:J7)</f>
        <v>2711041</v>
      </c>
      <c r="AP7" s="2">
        <f>SUM(K7:N7)</f>
        <v>2675758</v>
      </c>
      <c r="AQ7" s="2">
        <f>SUM(O7:R7)</f>
        <v>2925295</v>
      </c>
      <c r="AR7" s="2">
        <f t="shared" si="16"/>
        <v>3391390</v>
      </c>
      <c r="AS7" s="2">
        <f>AR7*1.1</f>
        <v>3730529.0000000005</v>
      </c>
      <c r="AT7" s="2">
        <f t="shared" ref="AT7:BC7" si="18">AS7*1.1</f>
        <v>4103581.9000000008</v>
      </c>
      <c r="AU7" s="2">
        <f t="shared" si="18"/>
        <v>4513940.0900000017</v>
      </c>
      <c r="AV7" s="2">
        <f t="shared" si="18"/>
        <v>4965334.0990000023</v>
      </c>
      <c r="AW7" s="2">
        <f t="shared" si="18"/>
        <v>5461867.5089000026</v>
      </c>
      <c r="AX7" s="2">
        <f t="shared" si="18"/>
        <v>6008054.2597900033</v>
      </c>
      <c r="AY7" s="2">
        <f t="shared" si="18"/>
        <v>6608859.6857690038</v>
      </c>
      <c r="AZ7" s="2">
        <f t="shared" si="18"/>
        <v>7269745.6543459045</v>
      </c>
      <c r="BA7" s="2">
        <f t="shared" si="18"/>
        <v>7996720.2197804954</v>
      </c>
      <c r="BB7" s="2">
        <f t="shared" si="18"/>
        <v>8796392.2417585459</v>
      </c>
      <c r="BC7" s="2">
        <f t="shared" si="18"/>
        <v>9676031.4659344014</v>
      </c>
    </row>
    <row r="8" spans="2:114" x14ac:dyDescent="0.2">
      <c r="B8" s="2" t="s">
        <v>8</v>
      </c>
      <c r="C8" s="6">
        <v>297196</v>
      </c>
      <c r="D8" s="6">
        <v>334845</v>
      </c>
      <c r="E8" s="6">
        <v>321790</v>
      </c>
      <c r="F8" s="6">
        <v>397790</v>
      </c>
      <c r="G8" s="6">
        <v>397928</v>
      </c>
      <c r="H8" s="6">
        <v>409297</v>
      </c>
      <c r="I8" s="6">
        <v>373213</v>
      </c>
      <c r="J8" s="6">
        <v>392453</v>
      </c>
      <c r="K8" s="6">
        <v>400924</v>
      </c>
      <c r="L8" s="6">
        <v>401497</v>
      </c>
      <c r="M8" s="6">
        <v>478591</v>
      </c>
      <c r="N8" s="6">
        <v>439273</v>
      </c>
      <c r="O8" s="6">
        <v>404020</v>
      </c>
      <c r="P8" s="6">
        <v>426992</v>
      </c>
      <c r="Q8" s="6">
        <v>417353</v>
      </c>
      <c r="R8" s="6">
        <v>453674</v>
      </c>
      <c r="S8" s="6">
        <v>421462</v>
      </c>
      <c r="T8" s="6">
        <v>441213</v>
      </c>
      <c r="U8" s="6">
        <v>457931</v>
      </c>
      <c r="V8" s="6">
        <v>567802</v>
      </c>
      <c r="W8" s="6">
        <f t="shared" si="12"/>
        <v>463608.2</v>
      </c>
      <c r="X8" s="6">
        <f t="shared" si="13"/>
        <v>485334.30000000005</v>
      </c>
      <c r="Y8" s="6">
        <f t="shared" si="14"/>
        <v>503724.10000000003</v>
      </c>
      <c r="Z8" s="6">
        <f t="shared" si="15"/>
        <v>624582.20000000007</v>
      </c>
      <c r="AC8" s="2">
        <f>70555-(6094)</f>
        <v>64461</v>
      </c>
      <c r="AD8" s="2">
        <v>126937</v>
      </c>
      <c r="AE8" s="2">
        <v>119687</v>
      </c>
      <c r="AF8" s="2">
        <v>180301</v>
      </c>
      <c r="AG8" s="2">
        <v>269741</v>
      </c>
      <c r="AH8" s="2">
        <v>407329</v>
      </c>
      <c r="AI8" s="2">
        <v>315663</v>
      </c>
      <c r="AJ8" s="2">
        <v>431043</v>
      </c>
      <c r="AK8" s="2">
        <v>630294</v>
      </c>
      <c r="AL8" s="2">
        <v>913369</v>
      </c>
      <c r="AM8" s="2">
        <v>1076486</v>
      </c>
      <c r="AN8" s="2">
        <v>1351621</v>
      </c>
      <c r="AO8" s="2">
        <f>SUM(G8:J8)</f>
        <v>1572891</v>
      </c>
      <c r="AP8" s="2">
        <f>SUM(K8:N8)</f>
        <v>1720285</v>
      </c>
      <c r="AQ8" s="2">
        <f>SUM(O8:R8)</f>
        <v>1702039</v>
      </c>
      <c r="AR8" s="2">
        <f t="shared" si="16"/>
        <v>1888408</v>
      </c>
      <c r="AS8" s="2">
        <f>AR8*1.1</f>
        <v>2077248.8000000003</v>
      </c>
      <c r="AT8" s="2">
        <f t="shared" ref="AT8:BC8" si="19">AS8*1.1</f>
        <v>2284973.6800000006</v>
      </c>
      <c r="AU8" s="2">
        <f t="shared" si="19"/>
        <v>2513471.0480000009</v>
      </c>
      <c r="AV8" s="2">
        <f t="shared" si="19"/>
        <v>2764818.1528000012</v>
      </c>
      <c r="AW8" s="2">
        <f t="shared" si="19"/>
        <v>3041299.9680800014</v>
      </c>
      <c r="AX8" s="2">
        <f t="shared" si="19"/>
        <v>3345429.9648880018</v>
      </c>
      <c r="AY8" s="2">
        <f t="shared" si="19"/>
        <v>3679972.9613768021</v>
      </c>
      <c r="AZ8" s="2">
        <f t="shared" si="19"/>
        <v>4047970.2575144828</v>
      </c>
      <c r="BA8" s="2">
        <f t="shared" si="19"/>
        <v>4452767.2832659315</v>
      </c>
      <c r="BB8" s="2">
        <f t="shared" si="19"/>
        <v>4898044.0115925251</v>
      </c>
      <c r="BC8" s="2">
        <f t="shared" si="19"/>
        <v>5387848.412751778</v>
      </c>
    </row>
    <row r="9" spans="2:114" x14ac:dyDescent="0.2">
      <c r="B9" s="2" t="s">
        <v>11</v>
      </c>
      <c r="C9" s="6">
        <f t="shared" ref="C9:T9" si="20">SUM(C6:C8)</f>
        <v>1334915</v>
      </c>
      <c r="D9" s="6">
        <f t="shared" si="20"/>
        <v>1476139</v>
      </c>
      <c r="E9" s="6">
        <f t="shared" si="20"/>
        <v>1521625</v>
      </c>
      <c r="F9" s="6">
        <f t="shared" si="20"/>
        <v>1837973</v>
      </c>
      <c r="G9" s="6">
        <f t="shared" si="20"/>
        <v>1611436</v>
      </c>
      <c r="H9" s="6">
        <f t="shared" si="20"/>
        <v>1701103</v>
      </c>
      <c r="I9" s="6">
        <f t="shared" si="20"/>
        <v>1603906</v>
      </c>
      <c r="J9" s="6">
        <f t="shared" si="20"/>
        <v>1897989</v>
      </c>
      <c r="K9" s="6">
        <f t="shared" si="20"/>
        <v>1643561</v>
      </c>
      <c r="L9" s="6">
        <f t="shared" si="20"/>
        <v>1686648</v>
      </c>
      <c r="M9" s="6">
        <f t="shared" si="20"/>
        <v>1694486</v>
      </c>
      <c r="N9" s="6">
        <f t="shared" si="20"/>
        <v>2029231</v>
      </c>
      <c r="O9" s="6">
        <f t="shared" si="20"/>
        <v>1760833</v>
      </c>
      <c r="P9" s="6">
        <f t="shared" si="20"/>
        <v>1782330</v>
      </c>
      <c r="Q9" s="6">
        <f t="shared" si="20"/>
        <v>1795342</v>
      </c>
      <c r="R9" s="6">
        <f t="shared" si="20"/>
        <v>2206383</v>
      </c>
      <c r="S9" s="6">
        <f t="shared" si="20"/>
        <v>1932655</v>
      </c>
      <c r="T9" s="6">
        <f t="shared" si="20"/>
        <v>1979161</v>
      </c>
      <c r="U9" s="6">
        <f>SUM(U6:U8)</f>
        <v>2097810</v>
      </c>
      <c r="V9" s="6">
        <f t="shared" ref="V9:X9" si="21">SUM(V6:V8)</f>
        <v>2571478</v>
      </c>
      <c r="W9" s="6">
        <f t="shared" si="21"/>
        <v>2125920.5000000005</v>
      </c>
      <c r="X9" s="6">
        <f t="shared" si="21"/>
        <v>2177077.1000000006</v>
      </c>
      <c r="Y9" s="6">
        <f>SUM(Y6:Y8)</f>
        <v>2307591</v>
      </c>
      <c r="Z9" s="6">
        <f t="shared" ref="Z9" si="22">SUM(Z6:Z8)</f>
        <v>2828625.8000000003</v>
      </c>
      <c r="AC9" s="2">
        <f t="shared" ref="AC9:AQ9" si="23">SUM(AC6:AC8)</f>
        <v>521629</v>
      </c>
      <c r="AD9" s="2">
        <f t="shared" ref="AD9:AG9" si="24">SUM(AD6:AD8)</f>
        <v>788608</v>
      </c>
      <c r="AE9" s="2">
        <f t="shared" si="24"/>
        <v>933424</v>
      </c>
      <c r="AF9" s="2">
        <f t="shared" si="24"/>
        <v>1029012</v>
      </c>
      <c r="AG9" s="2">
        <f t="shared" si="24"/>
        <v>1349248</v>
      </c>
      <c r="AH9" s="2">
        <f t="shared" ref="AH9:AL9" si="25">SUM(AH6:AH8)</f>
        <v>1882209</v>
      </c>
      <c r="AI9" s="2">
        <f t="shared" si="25"/>
        <v>2193414</v>
      </c>
      <c r="AJ9" s="2">
        <f t="shared" si="25"/>
        <v>2821034</v>
      </c>
      <c r="AK9" s="2">
        <f t="shared" si="25"/>
        <v>4221577</v>
      </c>
      <c r="AL9" s="2">
        <f t="shared" si="25"/>
        <v>5110980</v>
      </c>
      <c r="AM9" s="2">
        <f t="shared" ref="AM9:AN9" si="26">SUM(AM6:AM8)</f>
        <v>5134448</v>
      </c>
      <c r="AN9" s="2">
        <f t="shared" si="26"/>
        <v>6170652</v>
      </c>
      <c r="AO9" s="2">
        <f t="shared" si="23"/>
        <v>6814434</v>
      </c>
      <c r="AP9" s="2">
        <f t="shared" si="23"/>
        <v>7053926</v>
      </c>
      <c r="AQ9" s="2">
        <f t="shared" si="23"/>
        <v>7544888</v>
      </c>
      <c r="AR9" s="2">
        <f>SUM(AR6:AR8)</f>
        <v>8581104</v>
      </c>
      <c r="AS9" s="2">
        <f t="shared" ref="AS9" si="27">SUM(AS6:AS8)</f>
        <v>9439214.4000000004</v>
      </c>
      <c r="AT9" s="2">
        <f t="shared" ref="AT9:BC9" si="28">SUM(AT6:AT8)</f>
        <v>10383135.840000002</v>
      </c>
      <c r="AU9" s="2">
        <f t="shared" si="28"/>
        <v>11421449.424000002</v>
      </c>
      <c r="AV9" s="2">
        <f t="shared" si="28"/>
        <v>12563594.366400003</v>
      </c>
      <c r="AW9" s="2">
        <f t="shared" si="28"/>
        <v>13819953.803040005</v>
      </c>
      <c r="AX9" s="2">
        <f t="shared" si="28"/>
        <v>15201949.183344007</v>
      </c>
      <c r="AY9" s="2">
        <f t="shared" si="28"/>
        <v>16722144.101678409</v>
      </c>
      <c r="AZ9" s="2">
        <f t="shared" si="28"/>
        <v>18394358.511846252</v>
      </c>
      <c r="BA9" s="2">
        <f t="shared" si="28"/>
        <v>20233794.363030881</v>
      </c>
      <c r="BB9" s="2">
        <f t="shared" si="28"/>
        <v>22257173.799333971</v>
      </c>
      <c r="BC9" s="2">
        <f t="shared" si="28"/>
        <v>24482891.179267369</v>
      </c>
    </row>
    <row r="10" spans="2:114" x14ac:dyDescent="0.2">
      <c r="B10" s="2" t="s">
        <v>10</v>
      </c>
      <c r="C10" s="6">
        <f t="shared" ref="C10:T10" si="29">C5-C9</f>
        <v>1959856</v>
      </c>
      <c r="D10" s="6">
        <f t="shared" si="29"/>
        <v>1847630</v>
      </c>
      <c r="E10" s="6">
        <f t="shared" si="29"/>
        <v>1755253</v>
      </c>
      <c r="F10" s="6">
        <f t="shared" si="29"/>
        <v>631770</v>
      </c>
      <c r="G10" s="6">
        <f t="shared" si="29"/>
        <v>1971626</v>
      </c>
      <c r="H10" s="6">
        <f t="shared" si="29"/>
        <v>1578283</v>
      </c>
      <c r="I10" s="6">
        <f t="shared" si="29"/>
        <v>1533018</v>
      </c>
      <c r="J10" s="6">
        <f t="shared" si="29"/>
        <v>549904</v>
      </c>
      <c r="K10" s="6">
        <f t="shared" si="29"/>
        <v>1714317</v>
      </c>
      <c r="L10" s="6">
        <f t="shared" si="29"/>
        <v>1827183</v>
      </c>
      <c r="M10" s="6">
        <f t="shared" si="29"/>
        <v>1916394</v>
      </c>
      <c r="N10" s="6">
        <f t="shared" si="29"/>
        <v>1496109</v>
      </c>
      <c r="O10" s="6">
        <f t="shared" si="29"/>
        <v>2632534</v>
      </c>
      <c r="P10" s="6">
        <f t="shared" si="29"/>
        <v>2602837</v>
      </c>
      <c r="Q10" s="6">
        <f t="shared" si="29"/>
        <v>2909477</v>
      </c>
      <c r="R10" s="6">
        <f t="shared" si="29"/>
        <v>2272766</v>
      </c>
      <c r="S10" s="6">
        <f t="shared" si="29"/>
        <v>3346999</v>
      </c>
      <c r="T10" s="6">
        <f t="shared" si="29"/>
        <v>3774694</v>
      </c>
      <c r="U10" s="6">
        <f>U5-U9</f>
        <v>3248247</v>
      </c>
      <c r="V10" s="6">
        <f t="shared" ref="V10:X10" si="30">V5-V9</f>
        <v>2956663</v>
      </c>
      <c r="W10" s="6">
        <f t="shared" si="30"/>
        <v>3681698.9000000008</v>
      </c>
      <c r="X10" s="6">
        <f t="shared" si="30"/>
        <v>4152163.4000000004</v>
      </c>
      <c r="Y10" s="6">
        <f>Y5-Y9</f>
        <v>3573071.7</v>
      </c>
      <c r="Z10" s="6">
        <f t="shared" ref="Z10" si="31">Z5-Z9</f>
        <v>3252329.3000000003</v>
      </c>
      <c r="AC10" s="2">
        <f t="shared" ref="AC10:AQ10" si="32">AC5-AC9</f>
        <v>283641</v>
      </c>
      <c r="AD10" s="2">
        <f t="shared" ref="AD10:AG10" si="33">AD5-AD9</f>
        <v>376068</v>
      </c>
      <c r="AE10" s="2">
        <f t="shared" si="33"/>
        <v>49992</v>
      </c>
      <c r="AF10" s="2">
        <f t="shared" si="33"/>
        <v>228347</v>
      </c>
      <c r="AG10" s="2">
        <f t="shared" si="33"/>
        <v>402648</v>
      </c>
      <c r="AH10" s="2">
        <f t="shared" ref="AH10:AL10" si="34">AH5-AH9</f>
        <v>305826</v>
      </c>
      <c r="AI10" s="2">
        <f t="shared" si="34"/>
        <v>379793</v>
      </c>
      <c r="AJ10" s="2">
        <f t="shared" si="34"/>
        <v>838679</v>
      </c>
      <c r="AK10" s="2">
        <f t="shared" si="34"/>
        <v>1605226</v>
      </c>
      <c r="AL10" s="2">
        <f t="shared" si="34"/>
        <v>2605254</v>
      </c>
      <c r="AM10" s="2">
        <f t="shared" ref="AM10:AN10" si="35">AM5-AM9</f>
        <v>4585289</v>
      </c>
      <c r="AN10" s="2">
        <f t="shared" si="35"/>
        <v>6194509</v>
      </c>
      <c r="AO10" s="2">
        <f t="shared" si="32"/>
        <v>5632831</v>
      </c>
      <c r="AP10" s="2">
        <f t="shared" si="32"/>
        <v>6954003</v>
      </c>
      <c r="AQ10" s="2">
        <f t="shared" si="32"/>
        <v>10417614</v>
      </c>
      <c r="AR10" s="2">
        <f>AR5-AR9</f>
        <v>13326603</v>
      </c>
      <c r="AS10" s="2">
        <f t="shared" ref="AS10" si="36">AS5-AS9</f>
        <v>14659263.299999999</v>
      </c>
      <c r="AT10" s="2">
        <f t="shared" ref="AT10:BC10" si="37">AT5-AT9</f>
        <v>16125189.629999997</v>
      </c>
      <c r="AU10" s="2">
        <f t="shared" si="37"/>
        <v>17737708.592999998</v>
      </c>
      <c r="AV10" s="2">
        <f t="shared" si="37"/>
        <v>19511479.452300005</v>
      </c>
      <c r="AW10" s="2">
        <f t="shared" si="37"/>
        <v>21462627.397530004</v>
      </c>
      <c r="AX10" s="2">
        <f t="shared" si="37"/>
        <v>23608890.137283005</v>
      </c>
      <c r="AY10" s="2">
        <f t="shared" si="37"/>
        <v>25969779.151011311</v>
      </c>
      <c r="AZ10" s="2">
        <f t="shared" si="37"/>
        <v>28566757.066112444</v>
      </c>
      <c r="BA10" s="2">
        <f t="shared" si="37"/>
        <v>31423432.772723682</v>
      </c>
      <c r="BB10" s="2">
        <f t="shared" si="37"/>
        <v>34565776.049996048</v>
      </c>
      <c r="BC10" s="2">
        <f t="shared" si="37"/>
        <v>38022353.654995658</v>
      </c>
    </row>
    <row r="11" spans="2:114" x14ac:dyDescent="0.2">
      <c r="B11" s="2" t="s">
        <v>14</v>
      </c>
      <c r="C11" s="6">
        <v>-194440</v>
      </c>
      <c r="D11" s="6">
        <v>-191322</v>
      </c>
      <c r="E11" s="6">
        <v>-190429</v>
      </c>
      <c r="F11" s="6">
        <v>-189429</v>
      </c>
      <c r="G11" s="6">
        <v>-187579</v>
      </c>
      <c r="H11" s="6">
        <v>-175455</v>
      </c>
      <c r="I11" s="6">
        <v>-172575</v>
      </c>
      <c r="J11" s="6">
        <v>-170603</v>
      </c>
      <c r="K11" s="6">
        <v>-174239</v>
      </c>
      <c r="L11" s="6">
        <v>-174812</v>
      </c>
      <c r="M11" s="6">
        <v>-175563</v>
      </c>
      <c r="N11" s="6">
        <v>-175212</v>
      </c>
      <c r="O11" s="6">
        <v>-173314</v>
      </c>
      <c r="P11" s="6">
        <v>-167986</v>
      </c>
      <c r="Q11" s="6">
        <v>-184830</v>
      </c>
      <c r="R11" s="6">
        <v>-192603</v>
      </c>
      <c r="S11" s="6">
        <v>-184172</v>
      </c>
      <c r="T11" s="6">
        <v>-182649</v>
      </c>
      <c r="U11" s="6">
        <v>-175294</v>
      </c>
      <c r="V11" s="6">
        <v>-234395</v>
      </c>
      <c r="W11" s="6">
        <v>-184172</v>
      </c>
      <c r="X11" s="6">
        <v>-182649</v>
      </c>
      <c r="Y11" s="6">
        <v>-175294</v>
      </c>
      <c r="Z11" s="6">
        <v>-234395</v>
      </c>
      <c r="AC11" s="2">
        <v>-19629</v>
      </c>
      <c r="AD11" s="2">
        <v>-20025</v>
      </c>
      <c r="AE11" s="2">
        <v>-19986</v>
      </c>
      <c r="AF11" s="2">
        <v>-29142</v>
      </c>
      <c r="AG11" s="2">
        <v>-50219</v>
      </c>
      <c r="AH11" s="2">
        <v>-132716</v>
      </c>
      <c r="AI11" s="2">
        <v>-150114</v>
      </c>
      <c r="AJ11" s="2">
        <v>-238204</v>
      </c>
      <c r="AK11" s="2">
        <v>-420493</v>
      </c>
      <c r="AL11" s="2">
        <v>-626023</v>
      </c>
      <c r="AM11" s="2">
        <v>-767499</v>
      </c>
      <c r="AN11" s="2">
        <v>-765620</v>
      </c>
      <c r="AO11" s="2">
        <f>SUM(G11:J11)</f>
        <v>-706212</v>
      </c>
      <c r="AP11" s="2">
        <f>SUM(K11:N11)</f>
        <v>-699826</v>
      </c>
      <c r="AQ11" s="2">
        <f>SUM(O11:R11)</f>
        <v>-718733</v>
      </c>
      <c r="AR11" s="2">
        <f>SUM(S11:V11)</f>
        <v>-776510</v>
      </c>
      <c r="AS11" s="2">
        <f>+AR23*$AT$28</f>
        <v>-108009.54000000001</v>
      </c>
      <c r="AT11" s="2">
        <f>+AS23*$AT$28</f>
        <v>221464.1942</v>
      </c>
      <c r="AU11" s="2">
        <f t="shared" ref="AT11:BC11" si="38">+AT23*$AT$28</f>
        <v>587027.01163399999</v>
      </c>
      <c r="AV11" s="2">
        <f t="shared" si="38"/>
        <v>992341.60072417988</v>
      </c>
      <c r="AW11" s="2">
        <f t="shared" si="38"/>
        <v>1441437.5416320388</v>
      </c>
      <c r="AX11" s="2">
        <f t="shared" si="38"/>
        <v>1938747.9852550232</v>
      </c>
      <c r="AY11" s="2">
        <f t="shared" si="38"/>
        <v>2489149.9987875144</v>
      </c>
      <c r="AZ11" s="2">
        <f t="shared" si="38"/>
        <v>3098008.9444193086</v>
      </c>
      <c r="BA11" s="2">
        <f t="shared" si="38"/>
        <v>3771227.294397552</v>
      </c>
      <c r="BB11" s="2">
        <f t="shared" si="38"/>
        <v>4515298.3259959659</v>
      </c>
      <c r="BC11" s="2">
        <f t="shared" si="38"/>
        <v>5337365.1842845939</v>
      </c>
    </row>
    <row r="12" spans="2:114" x14ac:dyDescent="0.2">
      <c r="B12" s="2" t="s">
        <v>15</v>
      </c>
      <c r="C12" s="6">
        <v>269086</v>
      </c>
      <c r="D12" s="6">
        <v>-62519</v>
      </c>
      <c r="E12" s="6">
        <v>96135</v>
      </c>
      <c r="F12" s="6">
        <v>108512</v>
      </c>
      <c r="G12" s="6">
        <v>195645</v>
      </c>
      <c r="H12" s="6">
        <v>220226</v>
      </c>
      <c r="I12" s="6">
        <v>261404</v>
      </c>
      <c r="J12" s="6">
        <v>-339965</v>
      </c>
      <c r="K12" s="6">
        <v>-71204</v>
      </c>
      <c r="L12" s="6">
        <v>26961</v>
      </c>
      <c r="M12" s="6">
        <v>168218</v>
      </c>
      <c r="N12" s="6">
        <v>-172747</v>
      </c>
      <c r="O12" s="6">
        <v>155359</v>
      </c>
      <c r="P12" s="6">
        <v>79005</v>
      </c>
      <c r="Q12" s="6">
        <v>-21693</v>
      </c>
      <c r="R12" s="6">
        <v>54105</v>
      </c>
      <c r="S12" s="6">
        <v>50899</v>
      </c>
      <c r="T12" s="6">
        <v>39630</v>
      </c>
      <c r="U12" s="6">
        <v>36457</v>
      </c>
      <c r="V12" s="6">
        <v>45473</v>
      </c>
      <c r="W12" s="6">
        <v>50899</v>
      </c>
      <c r="X12" s="6">
        <v>39630</v>
      </c>
      <c r="Y12" s="6">
        <v>36457</v>
      </c>
      <c r="Z12" s="6">
        <v>45473</v>
      </c>
      <c r="AC12" s="2">
        <v>3684</v>
      </c>
      <c r="AD12" s="2">
        <v>3479</v>
      </c>
      <c r="AE12" s="2">
        <v>474</v>
      </c>
      <c r="AF12" s="2">
        <f>-3002-25129</f>
        <v>-28131</v>
      </c>
      <c r="AG12" s="2">
        <v>-3060</v>
      </c>
      <c r="AH12" s="2">
        <v>-31225</v>
      </c>
      <c r="AI12" s="2">
        <v>30828</v>
      </c>
      <c r="AJ12" s="2">
        <v>-115154</v>
      </c>
      <c r="AK12" s="2">
        <v>41725</v>
      </c>
      <c r="AL12" s="2">
        <v>84000</v>
      </c>
      <c r="AM12" s="2">
        <v>-618441</v>
      </c>
      <c r="AN12" s="2">
        <v>411214</v>
      </c>
      <c r="AO12" s="2">
        <f>SUM(G12:J12)</f>
        <v>337310</v>
      </c>
      <c r="AP12" s="2">
        <f>SUM(K12:N12)</f>
        <v>-48772</v>
      </c>
      <c r="AQ12" s="2">
        <f>SUM(O12:R12)</f>
        <v>266776</v>
      </c>
      <c r="AR12" s="2">
        <f>SUM(S12:V12)</f>
        <v>172459</v>
      </c>
      <c r="AS12" s="2">
        <f>AR12*1.05</f>
        <v>181081.95</v>
      </c>
      <c r="AT12" s="2">
        <f t="shared" ref="AT12:BC12" si="39">AS12*1.05</f>
        <v>190136.04750000002</v>
      </c>
      <c r="AU12" s="2">
        <f t="shared" si="39"/>
        <v>199642.84987500001</v>
      </c>
      <c r="AV12" s="2">
        <f t="shared" si="39"/>
        <v>209624.99236875001</v>
      </c>
      <c r="AW12" s="2">
        <f t="shared" si="39"/>
        <v>220106.24198718753</v>
      </c>
      <c r="AX12" s="2">
        <f t="shared" si="39"/>
        <v>231111.55408654691</v>
      </c>
      <c r="AY12" s="2">
        <f t="shared" si="39"/>
        <v>242667.13179087426</v>
      </c>
      <c r="AZ12" s="2">
        <f t="shared" si="39"/>
        <v>254800.48838041798</v>
      </c>
      <c r="BA12" s="2">
        <f t="shared" si="39"/>
        <v>267540.5127994389</v>
      </c>
      <c r="BB12" s="2">
        <f t="shared" si="39"/>
        <v>280917.53843941086</v>
      </c>
      <c r="BC12" s="2">
        <f t="shared" si="39"/>
        <v>294963.41536138143</v>
      </c>
    </row>
    <row r="13" spans="2:114" x14ac:dyDescent="0.2">
      <c r="B13" s="2" t="s">
        <v>16</v>
      </c>
      <c r="C13" s="6">
        <f t="shared" ref="C13:T13" si="40">C10+C11+C12</f>
        <v>2034502</v>
      </c>
      <c r="D13" s="6">
        <f t="shared" si="40"/>
        <v>1593789</v>
      </c>
      <c r="E13" s="6">
        <f t="shared" si="40"/>
        <v>1660959</v>
      </c>
      <c r="F13" s="6">
        <f t="shared" si="40"/>
        <v>550853</v>
      </c>
      <c r="G13" s="6">
        <f t="shared" si="40"/>
        <v>1979692</v>
      </c>
      <c r="H13" s="6">
        <f t="shared" si="40"/>
        <v>1623054</v>
      </c>
      <c r="I13" s="6">
        <f t="shared" si="40"/>
        <v>1621847</v>
      </c>
      <c r="J13" s="6">
        <f t="shared" si="40"/>
        <v>39336</v>
      </c>
      <c r="K13" s="6">
        <f t="shared" si="40"/>
        <v>1468874</v>
      </c>
      <c r="L13" s="6">
        <f t="shared" si="40"/>
        <v>1679332</v>
      </c>
      <c r="M13" s="6">
        <f t="shared" si="40"/>
        <v>1909049</v>
      </c>
      <c r="N13" s="6">
        <f t="shared" si="40"/>
        <v>1148150</v>
      </c>
      <c r="O13" s="6">
        <f t="shared" si="40"/>
        <v>2614579</v>
      </c>
      <c r="P13" s="6">
        <f t="shared" si="40"/>
        <v>2513856</v>
      </c>
      <c r="Q13" s="6">
        <f t="shared" si="40"/>
        <v>2702954</v>
      </c>
      <c r="R13" s="6">
        <f t="shared" si="40"/>
        <v>2134268</v>
      </c>
      <c r="S13" s="6">
        <f t="shared" si="40"/>
        <v>3213726</v>
      </c>
      <c r="T13" s="6">
        <f t="shared" si="40"/>
        <v>3631675</v>
      </c>
      <c r="U13" s="6">
        <f>U10+U11+U12</f>
        <v>3109410</v>
      </c>
      <c r="V13" s="6">
        <f t="shared" ref="V13:X13" si="41">V10+V11+V12</f>
        <v>2767741</v>
      </c>
      <c r="W13" s="6">
        <f t="shared" si="41"/>
        <v>3548425.9000000008</v>
      </c>
      <c r="X13" s="6">
        <f t="shared" si="41"/>
        <v>4009144.4000000004</v>
      </c>
      <c r="Y13" s="6">
        <f>Y10+Y11+Y12</f>
        <v>3434234.7</v>
      </c>
      <c r="Z13" s="6">
        <f t="shared" ref="Z13" si="42">Z10+Z11+Z12</f>
        <v>3063407.3000000003</v>
      </c>
      <c r="AC13" s="6">
        <f t="shared" ref="AC13:AG13" si="43">AC10+AC11+AC12</f>
        <v>267696</v>
      </c>
      <c r="AD13" s="6">
        <f t="shared" si="43"/>
        <v>359522</v>
      </c>
      <c r="AE13" s="6">
        <f t="shared" si="43"/>
        <v>30480</v>
      </c>
      <c r="AF13" s="6">
        <f t="shared" si="43"/>
        <v>171074</v>
      </c>
      <c r="AG13" s="6">
        <f t="shared" si="43"/>
        <v>349369</v>
      </c>
      <c r="AH13" s="6">
        <f t="shared" ref="AH13:AL13" si="44">AH10+AH11+AH12</f>
        <v>141885</v>
      </c>
      <c r="AI13" s="6">
        <f t="shared" si="44"/>
        <v>260507</v>
      </c>
      <c r="AJ13" s="6">
        <f t="shared" si="44"/>
        <v>485321</v>
      </c>
      <c r="AK13" s="6">
        <f t="shared" si="44"/>
        <v>1226458</v>
      </c>
      <c r="AL13" s="6">
        <f t="shared" si="44"/>
        <v>2063231</v>
      </c>
      <c r="AM13" s="6">
        <f t="shared" ref="AM13:AN13" si="45">AM10+AM11+AM12</f>
        <v>3199349</v>
      </c>
      <c r="AN13" s="6">
        <f t="shared" si="45"/>
        <v>5840103</v>
      </c>
      <c r="AO13" s="6">
        <f t="shared" ref="AO13" si="46">AO10+AO11+AO12</f>
        <v>5263929</v>
      </c>
      <c r="AP13" s="6">
        <f t="shared" ref="AP13" si="47">AP10+AP11+AP12</f>
        <v>6205405</v>
      </c>
      <c r="AQ13" s="6">
        <f t="shared" ref="AQ13" si="48">AQ10+AQ11+AQ12</f>
        <v>9965657</v>
      </c>
      <c r="AR13" s="6">
        <f t="shared" ref="AR13:AS13" si="49">AR10+AR11+AR12</f>
        <v>12722552</v>
      </c>
      <c r="AS13" s="6">
        <f t="shared" si="49"/>
        <v>14732335.709999999</v>
      </c>
      <c r="AT13" s="6">
        <f t="shared" ref="AT13:BC13" si="50">AT10+AT11+AT12</f>
        <v>16536789.871699996</v>
      </c>
      <c r="AU13" s="6">
        <f t="shared" si="50"/>
        <v>18524378.454508997</v>
      </c>
      <c r="AV13" s="6">
        <f t="shared" si="50"/>
        <v>20713446.045392934</v>
      </c>
      <c r="AW13" s="6">
        <f t="shared" si="50"/>
        <v>23124171.181149229</v>
      </c>
      <c r="AX13" s="6">
        <f t="shared" si="50"/>
        <v>25778749.676624574</v>
      </c>
      <c r="AY13" s="6">
        <f t="shared" si="50"/>
        <v>28701596.281589698</v>
      </c>
      <c r="AZ13" s="6">
        <f t="shared" si="50"/>
        <v>31919566.498912171</v>
      </c>
      <c r="BA13" s="6">
        <f t="shared" si="50"/>
        <v>35462200.579920679</v>
      </c>
      <c r="BB13" s="6">
        <f t="shared" si="50"/>
        <v>39361991.914431423</v>
      </c>
      <c r="BC13" s="6">
        <f t="shared" si="50"/>
        <v>43654682.25464163</v>
      </c>
    </row>
    <row r="14" spans="2:114" x14ac:dyDescent="0.2">
      <c r="B14" s="2" t="s">
        <v>17</v>
      </c>
      <c r="C14" s="6">
        <v>-327787</v>
      </c>
      <c r="D14" s="6">
        <v>-240776</v>
      </c>
      <c r="E14" s="6">
        <v>-211888</v>
      </c>
      <c r="F14" s="6">
        <v>56576</v>
      </c>
      <c r="G14" s="6">
        <v>-382245</v>
      </c>
      <c r="H14" s="6">
        <v>-182103</v>
      </c>
      <c r="I14" s="6">
        <v>-223605</v>
      </c>
      <c r="J14" s="6">
        <v>15948</v>
      </c>
      <c r="K14" s="6">
        <v>-163754</v>
      </c>
      <c r="L14" s="6">
        <v>-191722</v>
      </c>
      <c r="M14" s="6">
        <v>-231627</v>
      </c>
      <c r="N14" s="6">
        <v>-210312</v>
      </c>
      <c r="O14" s="6">
        <v>-282370</v>
      </c>
      <c r="P14" s="6">
        <v>-366550</v>
      </c>
      <c r="Q14" s="6">
        <v>-339445</v>
      </c>
      <c r="R14" s="6">
        <v>-265661</v>
      </c>
      <c r="S14" s="6">
        <v>-323375</v>
      </c>
      <c r="T14" s="6">
        <v>-506262</v>
      </c>
      <c r="U14" s="6">
        <v>-562494</v>
      </c>
      <c r="V14" s="6">
        <v>-349220</v>
      </c>
      <c r="W14" s="6">
        <v>-323375</v>
      </c>
      <c r="X14" s="6">
        <v>-506262</v>
      </c>
      <c r="Y14" s="6">
        <v>-562494</v>
      </c>
      <c r="Z14" s="6">
        <v>-349220</v>
      </c>
      <c r="AC14" s="2">
        <f>106843</f>
        <v>106843</v>
      </c>
      <c r="AD14" s="2">
        <v>133396</v>
      </c>
      <c r="AE14" s="2">
        <v>13328</v>
      </c>
      <c r="AF14" s="2">
        <v>58671</v>
      </c>
      <c r="AG14" s="2">
        <v>82570</v>
      </c>
      <c r="AH14" s="2">
        <v>19244</v>
      </c>
      <c r="AI14" s="2">
        <v>73829</v>
      </c>
      <c r="AJ14" s="2">
        <v>-73608</v>
      </c>
      <c r="AK14" s="2">
        <v>15216</v>
      </c>
      <c r="AL14" s="2">
        <v>195315</v>
      </c>
      <c r="AM14" s="2">
        <v>437954</v>
      </c>
      <c r="AN14" s="2">
        <v>723875</v>
      </c>
      <c r="AO14" s="2">
        <f>SUM(G14:J14)</f>
        <v>-772005</v>
      </c>
      <c r="AP14" s="2">
        <f>SUM(K14:N14)</f>
        <v>-797415</v>
      </c>
      <c r="AQ14" s="2">
        <f>SUM(O14:R14)</f>
        <v>-1254026</v>
      </c>
      <c r="AR14" s="2">
        <f>SUM(S14:V14)</f>
        <v>-1741351</v>
      </c>
      <c r="AS14" s="2">
        <f>AR14</f>
        <v>-1741351</v>
      </c>
      <c r="AT14" s="2">
        <f t="shared" ref="AT14:BC14" si="51">AS14</f>
        <v>-1741351</v>
      </c>
      <c r="AU14" s="2">
        <f t="shared" si="51"/>
        <v>-1741351</v>
      </c>
      <c r="AV14" s="2">
        <f t="shared" si="51"/>
        <v>-1741351</v>
      </c>
      <c r="AW14" s="2">
        <f t="shared" si="51"/>
        <v>-1741351</v>
      </c>
      <c r="AX14" s="2">
        <f t="shared" si="51"/>
        <v>-1741351</v>
      </c>
      <c r="AY14" s="2">
        <f t="shared" si="51"/>
        <v>-1741351</v>
      </c>
      <c r="AZ14" s="2">
        <f t="shared" si="51"/>
        <v>-1741351</v>
      </c>
      <c r="BA14" s="2">
        <f t="shared" si="51"/>
        <v>-1741351</v>
      </c>
      <c r="BB14" s="2">
        <f t="shared" si="51"/>
        <v>-1741351</v>
      </c>
      <c r="BC14" s="2">
        <f t="shared" si="51"/>
        <v>-1741351</v>
      </c>
    </row>
    <row r="15" spans="2:114" x14ac:dyDescent="0.2">
      <c r="B15" s="2" t="s">
        <v>18</v>
      </c>
      <c r="C15" s="6">
        <f t="shared" ref="C15:T15" si="52">C13+C14</f>
        <v>1706715</v>
      </c>
      <c r="D15" s="6">
        <f t="shared" si="52"/>
        <v>1353013</v>
      </c>
      <c r="E15" s="6">
        <f t="shared" si="52"/>
        <v>1449071</v>
      </c>
      <c r="F15" s="6">
        <f t="shared" si="52"/>
        <v>607429</v>
      </c>
      <c r="G15" s="6">
        <f t="shared" si="52"/>
        <v>1597447</v>
      </c>
      <c r="H15" s="6">
        <f t="shared" si="52"/>
        <v>1440951</v>
      </c>
      <c r="I15" s="6">
        <f t="shared" si="52"/>
        <v>1398242</v>
      </c>
      <c r="J15" s="6">
        <f t="shared" si="52"/>
        <v>55284</v>
      </c>
      <c r="K15" s="6">
        <f t="shared" si="52"/>
        <v>1305120</v>
      </c>
      <c r="L15" s="6">
        <f t="shared" si="52"/>
        <v>1487610</v>
      </c>
      <c r="M15" s="6">
        <f t="shared" si="52"/>
        <v>1677422</v>
      </c>
      <c r="N15" s="6">
        <f t="shared" si="52"/>
        <v>937838</v>
      </c>
      <c r="O15" s="6">
        <f t="shared" si="52"/>
        <v>2332209</v>
      </c>
      <c r="P15" s="6">
        <f t="shared" si="52"/>
        <v>2147306</v>
      </c>
      <c r="Q15" s="6">
        <f t="shared" si="52"/>
        <v>2363509</v>
      </c>
      <c r="R15" s="6">
        <f t="shared" si="52"/>
        <v>1868607</v>
      </c>
      <c r="S15" s="6">
        <f t="shared" si="52"/>
        <v>2890351</v>
      </c>
      <c r="T15" s="6">
        <f t="shared" si="52"/>
        <v>3125413</v>
      </c>
      <c r="U15" s="6">
        <f>U13+U14</f>
        <v>2546916</v>
      </c>
      <c r="V15" s="6">
        <f t="shared" ref="V15:X15" si="53">V13+V14</f>
        <v>2418521</v>
      </c>
      <c r="W15" s="6">
        <f t="shared" si="53"/>
        <v>3225050.9000000008</v>
      </c>
      <c r="X15" s="6">
        <f t="shared" si="53"/>
        <v>3502882.4000000004</v>
      </c>
      <c r="Y15" s="6">
        <f>Y13+Y14</f>
        <v>2871740.7</v>
      </c>
      <c r="Z15" s="6">
        <f t="shared" ref="Z15" si="54">Z13+Z14</f>
        <v>2714187.3000000003</v>
      </c>
      <c r="AC15" s="2">
        <f>AC13-AC14</f>
        <v>160853</v>
      </c>
      <c r="AD15" s="2">
        <f t="shared" ref="AD15:AG15" si="55">AD13-AD14</f>
        <v>226126</v>
      </c>
      <c r="AE15" s="2">
        <f t="shared" si="55"/>
        <v>17152</v>
      </c>
      <c r="AF15" s="2">
        <f t="shared" si="55"/>
        <v>112403</v>
      </c>
      <c r="AG15" s="2">
        <f t="shared" si="55"/>
        <v>266799</v>
      </c>
      <c r="AH15" s="2">
        <f t="shared" ref="AH15" si="56">AH13-AH14</f>
        <v>122641</v>
      </c>
      <c r="AI15" s="2">
        <f t="shared" ref="AI15" si="57">AI13-AI14</f>
        <v>186678</v>
      </c>
      <c r="AJ15" s="2">
        <f t="shared" ref="AJ15" si="58">AJ13-AJ14</f>
        <v>558929</v>
      </c>
      <c r="AK15" s="2">
        <f t="shared" ref="AK15:AN15" si="59">AK13-AK14</f>
        <v>1211242</v>
      </c>
      <c r="AL15" s="2">
        <f t="shared" si="59"/>
        <v>1867916</v>
      </c>
      <c r="AM15" s="2">
        <f t="shared" si="59"/>
        <v>2761395</v>
      </c>
      <c r="AN15" s="2">
        <f t="shared" si="59"/>
        <v>5116228</v>
      </c>
      <c r="AO15" s="2">
        <f t="shared" ref="AO15:AQ15" si="60">AO13+AO14</f>
        <v>4491924</v>
      </c>
      <c r="AP15" s="2">
        <f t="shared" si="60"/>
        <v>5407990</v>
      </c>
      <c r="AQ15" s="2">
        <f t="shared" si="60"/>
        <v>8711631</v>
      </c>
      <c r="AR15" s="2">
        <f>AR13+AR14</f>
        <v>10981201</v>
      </c>
      <c r="AS15" s="2">
        <f t="shared" ref="AS15" si="61">AS13-AS14</f>
        <v>16473686.709999999</v>
      </c>
      <c r="AT15" s="2">
        <f t="shared" ref="AT15:BC15" si="62">AT13-AT14</f>
        <v>18278140.871699996</v>
      </c>
      <c r="AU15" s="2">
        <f t="shared" si="62"/>
        <v>20265729.454508997</v>
      </c>
      <c r="AV15" s="2">
        <f t="shared" si="62"/>
        <v>22454797.045392934</v>
      </c>
      <c r="AW15" s="2">
        <f t="shared" si="62"/>
        <v>24865522.181149229</v>
      </c>
      <c r="AX15" s="2">
        <f t="shared" si="62"/>
        <v>27520100.676624574</v>
      </c>
      <c r="AY15" s="2">
        <f t="shared" si="62"/>
        <v>30442947.281589698</v>
      </c>
      <c r="AZ15" s="2">
        <f t="shared" si="62"/>
        <v>33660917.498912171</v>
      </c>
      <c r="BA15" s="2">
        <f t="shared" si="62"/>
        <v>37203551.579920679</v>
      </c>
      <c r="BB15" s="2">
        <f t="shared" si="62"/>
        <v>41103342.914431423</v>
      </c>
      <c r="BC15" s="2">
        <f t="shared" si="62"/>
        <v>45396033.25464163</v>
      </c>
      <c r="BD15" s="2">
        <f>+BC15*(1+$AT$27)</f>
        <v>44942072.922095209</v>
      </c>
      <c r="BE15" s="2">
        <f t="shared" ref="BE15:DH15" si="63">+BD15*(1+$AT$27)</f>
        <v>44492652.19287426</v>
      </c>
      <c r="BF15" s="2">
        <f t="shared" si="63"/>
        <v>44047725.670945518</v>
      </c>
      <c r="BG15" s="2">
        <f t="shared" si="63"/>
        <v>43607248.414236061</v>
      </c>
      <c r="BH15" s="2">
        <f t="shared" si="63"/>
        <v>43171175.930093698</v>
      </c>
      <c r="BI15" s="2">
        <f t="shared" si="63"/>
        <v>42739464.170792758</v>
      </c>
      <c r="BJ15" s="2">
        <f t="shared" si="63"/>
        <v>42312069.529084831</v>
      </c>
      <c r="BK15" s="2">
        <f t="shared" si="63"/>
        <v>41888948.833793983</v>
      </c>
      <c r="BL15" s="2">
        <f t="shared" si="63"/>
        <v>41470059.345456041</v>
      </c>
      <c r="BM15" s="2">
        <f t="shared" si="63"/>
        <v>41055358.752001479</v>
      </c>
      <c r="BN15" s="2">
        <f t="shared" si="63"/>
        <v>40644805.164481461</v>
      </c>
      <c r="BO15" s="2">
        <f t="shared" si="63"/>
        <v>40238357.112836644</v>
      </c>
      <c r="BP15" s="2">
        <f t="shared" si="63"/>
        <v>39835973.541708276</v>
      </c>
      <c r="BQ15" s="2">
        <f t="shared" si="63"/>
        <v>39437613.806291193</v>
      </c>
      <c r="BR15" s="2">
        <f t="shared" si="63"/>
        <v>39043237.668228284</v>
      </c>
      <c r="BS15" s="2">
        <f t="shared" si="63"/>
        <v>38652805.291546002</v>
      </c>
      <c r="BT15" s="2">
        <f t="shared" si="63"/>
        <v>38266277.238630541</v>
      </c>
      <c r="BU15" s="2">
        <f t="shared" si="63"/>
        <v>37883614.466244236</v>
      </c>
      <c r="BV15" s="2">
        <f t="shared" si="63"/>
        <v>37504778.321581796</v>
      </c>
      <c r="BW15" s="2">
        <f t="shared" si="63"/>
        <v>37129730.538365975</v>
      </c>
      <c r="BX15" s="2">
        <f t="shared" si="63"/>
        <v>36758433.232982315</v>
      </c>
      <c r="BY15" s="2">
        <f t="shared" si="63"/>
        <v>36390848.900652491</v>
      </c>
      <c r="BZ15" s="2">
        <f t="shared" si="63"/>
        <v>36026940.411645964</v>
      </c>
      <c r="CA15" s="2">
        <f t="shared" si="63"/>
        <v>35666671.007529505</v>
      </c>
      <c r="CB15" s="2">
        <f t="shared" si="63"/>
        <v>35310004.297454208</v>
      </c>
      <c r="CC15" s="2">
        <f t="shared" si="63"/>
        <v>34956904.254479669</v>
      </c>
      <c r="CD15" s="2">
        <f t="shared" si="63"/>
        <v>34607335.211934872</v>
      </c>
      <c r="CE15" s="2">
        <f t="shared" si="63"/>
        <v>34261261.859815523</v>
      </c>
      <c r="CF15" s="2">
        <f t="shared" si="63"/>
        <v>33918649.241217367</v>
      </c>
      <c r="CG15" s="2">
        <f t="shared" si="63"/>
        <v>33579462.748805195</v>
      </c>
      <c r="CH15" s="2">
        <f t="shared" si="63"/>
        <v>33243668.121317144</v>
      </c>
      <c r="CI15" s="2">
        <f t="shared" si="63"/>
        <v>32911231.440103974</v>
      </c>
      <c r="CJ15" s="2">
        <f t="shared" si="63"/>
        <v>32582119.125702932</v>
      </c>
      <c r="CK15" s="2">
        <f t="shared" si="63"/>
        <v>32256297.934445903</v>
      </c>
      <c r="CL15" s="2">
        <f t="shared" si="63"/>
        <v>31933734.955101442</v>
      </c>
      <c r="CM15" s="2">
        <f t="shared" si="63"/>
        <v>31614397.605550427</v>
      </c>
      <c r="CN15" s="2">
        <f t="shared" si="63"/>
        <v>31298253.629494924</v>
      </c>
      <c r="CO15" s="2">
        <f t="shared" si="63"/>
        <v>30985271.093199976</v>
      </c>
      <c r="CP15" s="2">
        <f t="shared" si="63"/>
        <v>30675418.382267974</v>
      </c>
      <c r="CQ15" s="2">
        <f t="shared" si="63"/>
        <v>30368664.198445294</v>
      </c>
      <c r="CR15" s="2">
        <f t="shared" si="63"/>
        <v>30064977.556460842</v>
      </c>
      <c r="CS15" s="2">
        <f t="shared" si="63"/>
        <v>29764327.780896235</v>
      </c>
      <c r="CT15" s="2">
        <f t="shared" si="63"/>
        <v>29466684.503087271</v>
      </c>
      <c r="CU15" s="2">
        <f t="shared" si="63"/>
        <v>29172017.658056397</v>
      </c>
      <c r="CV15" s="2">
        <f t="shared" si="63"/>
        <v>28880297.481475834</v>
      </c>
      <c r="CW15" s="2">
        <f t="shared" si="63"/>
        <v>28591494.506661076</v>
      </c>
      <c r="CX15" s="2">
        <f t="shared" si="63"/>
        <v>28305579.561594464</v>
      </c>
      <c r="CY15" s="2">
        <f t="shared" si="63"/>
        <v>28022523.765978519</v>
      </c>
      <c r="CZ15" s="2">
        <f t="shared" si="63"/>
        <v>27742298.528318733</v>
      </c>
      <c r="DA15" s="2">
        <f t="shared" si="63"/>
        <v>27464875.543035544</v>
      </c>
      <c r="DB15" s="2">
        <f t="shared" si="63"/>
        <v>27190226.787605189</v>
      </c>
      <c r="DC15" s="2">
        <f t="shared" si="63"/>
        <v>26918324.519729137</v>
      </c>
      <c r="DD15" s="2">
        <f t="shared" si="63"/>
        <v>26649141.274531845</v>
      </c>
      <c r="DE15" s="2">
        <f t="shared" si="63"/>
        <v>26382649.861786526</v>
      </c>
      <c r="DF15" s="2">
        <f t="shared" si="63"/>
        <v>26118823.363168661</v>
      </c>
      <c r="DG15" s="2">
        <f t="shared" si="63"/>
        <v>25857635.129536975</v>
      </c>
      <c r="DH15" s="2">
        <f t="shared" si="63"/>
        <v>25599058.778241605</v>
      </c>
    </row>
    <row r="16" spans="2:114" x14ac:dyDescent="0.2">
      <c r="B16" s="2" t="s">
        <v>43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</row>
    <row r="17" spans="2:55" x14ac:dyDescent="0.2">
      <c r="B17" s="2" t="s">
        <v>1</v>
      </c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</row>
    <row r="18" spans="2:55" x14ac:dyDescent="0.2"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</row>
    <row r="19" spans="2:55" x14ac:dyDescent="0.2">
      <c r="B19" s="2" t="s">
        <v>44</v>
      </c>
      <c r="C19" s="6"/>
      <c r="D19" s="6"/>
      <c r="E19" s="6"/>
      <c r="F19" s="6"/>
      <c r="G19" s="6"/>
      <c r="H19" s="6"/>
      <c r="I19" s="6"/>
      <c r="J19" s="8">
        <f>J3/F3-1</f>
        <v>1.8514607906951142E-2</v>
      </c>
      <c r="K19" s="8">
        <f t="shared" ref="K19:V19" si="64">K3/G3-1</f>
        <v>3.7334100005757653E-2</v>
      </c>
      <c r="L19" s="8">
        <f t="shared" si="64"/>
        <v>2.7246694882813172E-2</v>
      </c>
      <c r="M19" s="8">
        <f t="shared" si="64"/>
        <v>7.773289783257753E-2</v>
      </c>
      <c r="N19" s="8">
        <f t="shared" si="64"/>
        <v>0.12490644166563825</v>
      </c>
      <c r="O19" s="8">
        <f t="shared" si="64"/>
        <v>0.14812676047536821</v>
      </c>
      <c r="P19" s="8">
        <f t="shared" si="64"/>
        <v>0.16757769135396394</v>
      </c>
      <c r="Q19" s="8">
        <f t="shared" si="64"/>
        <v>0.15020895216250496</v>
      </c>
      <c r="R19" s="8">
        <f t="shared" si="64"/>
        <v>0.16004936133117087</v>
      </c>
      <c r="S19" s="8">
        <f t="shared" si="64"/>
        <v>0.12511269481475784</v>
      </c>
      <c r="T19" s="8">
        <f t="shared" si="64"/>
        <v>0.15899222851858563</v>
      </c>
      <c r="U19" s="8">
        <f t="shared" si="64"/>
        <v>0.17156793442000229</v>
      </c>
      <c r="V19" s="8">
        <f t="shared" si="64"/>
        <v>0.17608419566734557</v>
      </c>
      <c r="W19" s="8">
        <f t="shared" ref="W19" si="65">W3/S3-1</f>
        <v>0.10000000000000009</v>
      </c>
      <c r="X19" s="8">
        <f t="shared" ref="X19" si="66">X3/T3-1</f>
        <v>0.10000000000000009</v>
      </c>
      <c r="Y19" s="8">
        <f t="shared" ref="Y19" si="67">Y3/U3-1</f>
        <v>0.10000000000000009</v>
      </c>
      <c r="Z19" s="8">
        <f t="shared" ref="Z19" si="68">Z3/V3-1</f>
        <v>0.10000000000000009</v>
      </c>
      <c r="AA19" s="8"/>
      <c r="AB19" s="8"/>
      <c r="AC19" s="8"/>
      <c r="AD19" s="8">
        <f t="shared" ref="AD19:AR19" si="69">AD3/AC3-1</f>
        <v>0.48179966475926239</v>
      </c>
      <c r="AE19" s="8">
        <f t="shared" si="69"/>
        <v>0.12628967879380015</v>
      </c>
      <c r="AF19" s="8">
        <f t="shared" si="69"/>
        <v>0.21203109094828276</v>
      </c>
      <c r="AG19" s="8">
        <f t="shared" si="69"/>
        <v>0.25833306283006152</v>
      </c>
      <c r="AH19" s="8">
        <f t="shared" si="69"/>
        <v>0.23159576184233854</v>
      </c>
      <c r="AI19" s="8">
        <f t="shared" si="69"/>
        <v>0.30255249973043785</v>
      </c>
      <c r="AJ19" s="8">
        <f t="shared" si="69"/>
        <v>0.32410273785598798</v>
      </c>
      <c r="AK19" s="8">
        <f t="shared" si="69"/>
        <v>0.35078497180252355</v>
      </c>
      <c r="AL19" s="8">
        <f t="shared" si="69"/>
        <v>0.27618157667990073</v>
      </c>
      <c r="AM19" s="8">
        <f t="shared" si="69"/>
        <v>0.24010228588401517</v>
      </c>
      <c r="AN19" s="8">
        <f t="shared" si="69"/>
        <v>0.18810119484449861</v>
      </c>
      <c r="AO19" s="8">
        <f t="shared" si="69"/>
        <v>6.45739131769969E-2</v>
      </c>
      <c r="AP19" s="8">
        <f t="shared" si="69"/>
        <v>6.6668047843545297E-2</v>
      </c>
      <c r="AQ19" s="8">
        <f t="shared" si="69"/>
        <v>0.15649919994477401</v>
      </c>
      <c r="AR19" s="8">
        <f t="shared" si="69"/>
        <v>0.15851068919677536</v>
      </c>
    </row>
    <row r="20" spans="2:55" x14ac:dyDescent="0.2">
      <c r="B20" s="2" t="s">
        <v>45</v>
      </c>
      <c r="C20" s="8">
        <f>C5/C3</f>
        <v>0.4599527144121926</v>
      </c>
      <c r="D20" s="8">
        <f t="shared" ref="D20:V20" si="70">D5/D3</f>
        <v>0.45271996139354276</v>
      </c>
      <c r="E20" s="8">
        <f t="shared" si="70"/>
        <v>0.43788233448480496</v>
      </c>
      <c r="F20" s="8">
        <f t="shared" si="70"/>
        <v>0.32035816916619603</v>
      </c>
      <c r="G20" s="8">
        <f t="shared" si="70"/>
        <v>0.45541028350229484</v>
      </c>
      <c r="H20" s="8">
        <f t="shared" si="70"/>
        <v>0.41145896917005609</v>
      </c>
      <c r="I20" s="8">
        <f t="shared" si="70"/>
        <v>0.39579695591078468</v>
      </c>
      <c r="J20" s="8">
        <f t="shared" si="70"/>
        <v>0.3117519711087024</v>
      </c>
      <c r="K20" s="8">
        <f t="shared" si="70"/>
        <v>0.41142887529417072</v>
      </c>
      <c r="L20" s="8">
        <f t="shared" si="70"/>
        <v>0.42918062985591954</v>
      </c>
      <c r="M20" s="8">
        <f t="shared" si="70"/>
        <v>0.42273710474347631</v>
      </c>
      <c r="N20" s="8">
        <f t="shared" si="70"/>
        <v>0.39911806245453746</v>
      </c>
      <c r="O20" s="8">
        <f t="shared" si="70"/>
        <v>0.46885386385271127</v>
      </c>
      <c r="P20" s="8">
        <f t="shared" si="70"/>
        <v>0.45873258634775943</v>
      </c>
      <c r="Q20" s="8">
        <f t="shared" si="70"/>
        <v>0.47887646069301026</v>
      </c>
      <c r="R20" s="8">
        <f t="shared" si="70"/>
        <v>0.43713885884885911</v>
      </c>
      <c r="S20" s="8">
        <f t="shared" si="70"/>
        <v>0.50078285647239285</v>
      </c>
      <c r="T20" s="8">
        <f t="shared" si="70"/>
        <v>0.51934008390162223</v>
      </c>
      <c r="U20" s="8">
        <f t="shared" si="70"/>
        <v>0.46445824598770474</v>
      </c>
      <c r="V20" s="8">
        <f t="shared" si="70"/>
        <v>0.45873787898225854</v>
      </c>
      <c r="W20" s="8">
        <f t="shared" ref="W20:AR20" si="71">W5/W3</f>
        <v>0.50078285647239296</v>
      </c>
      <c r="X20" s="8">
        <f t="shared" si="71"/>
        <v>0.51934008390162223</v>
      </c>
      <c r="Y20" s="8">
        <f t="shared" si="71"/>
        <v>0.46445824598770474</v>
      </c>
      <c r="Z20" s="8">
        <f t="shared" si="71"/>
        <v>0.45873787898225854</v>
      </c>
      <c r="AA20" s="8"/>
      <c r="AB20" s="8"/>
      <c r="AC20" s="8">
        <f t="shared" si="71"/>
        <v>0.3723576671868678</v>
      </c>
      <c r="AD20" s="8">
        <f t="shared" si="71"/>
        <v>0.36344141520082057</v>
      </c>
      <c r="AE20" s="8">
        <f t="shared" si="71"/>
        <v>0.27246859624712061</v>
      </c>
      <c r="AF20" s="8">
        <f t="shared" si="71"/>
        <v>0.28742511821754957</v>
      </c>
      <c r="AG20" s="8">
        <f t="shared" si="71"/>
        <v>0.31825712633087333</v>
      </c>
      <c r="AH20" s="8">
        <f t="shared" si="71"/>
        <v>0.32274230398033132</v>
      </c>
      <c r="AI20" s="8">
        <f t="shared" si="71"/>
        <v>0.29139434396193536</v>
      </c>
      <c r="AJ20" s="8">
        <f t="shared" si="71"/>
        <v>0.31299092007132989</v>
      </c>
      <c r="AK20" s="8">
        <f t="shared" si="71"/>
        <v>0.36891713304151152</v>
      </c>
      <c r="AL20" s="8">
        <f t="shared" si="71"/>
        <v>0.38281717010939476</v>
      </c>
      <c r="AM20" s="8">
        <f t="shared" si="71"/>
        <v>0.38885082510616875</v>
      </c>
      <c r="AN20" s="8">
        <f t="shared" si="71"/>
        <v>0.41636561226464791</v>
      </c>
      <c r="AO20" s="8">
        <f t="shared" si="71"/>
        <v>0.39370705238403253</v>
      </c>
      <c r="AP20" s="8">
        <f t="shared" si="71"/>
        <v>0.41537839553469519</v>
      </c>
      <c r="AQ20" s="8">
        <f t="shared" si="71"/>
        <v>0.46056556650417324</v>
      </c>
      <c r="AR20" s="8">
        <f t="shared" si="71"/>
        <v>0.48486575802475956</v>
      </c>
    </row>
    <row r="21" spans="2:55" x14ac:dyDescent="0.2"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</row>
    <row r="22" spans="2:55" x14ac:dyDescent="0.2"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</row>
    <row r="23" spans="2:55" x14ac:dyDescent="0.2">
      <c r="B23" s="2" t="s">
        <v>46</v>
      </c>
      <c r="C23" s="6">
        <f t="shared" ref="C23" si="72">C24-C36</f>
        <v>-7155635</v>
      </c>
      <c r="D23" s="6">
        <f t="shared" ref="D23" si="73">D24-D36</f>
        <v>-7848487</v>
      </c>
      <c r="E23" s="6">
        <f t="shared" ref="E23" si="74">E24-E36</f>
        <v>-7155635</v>
      </c>
      <c r="F23" s="6">
        <f t="shared" ref="F23:G23" si="75">F24-F36</f>
        <v>-9365046</v>
      </c>
      <c r="G23" s="6">
        <f t="shared" si="75"/>
        <v>-8525615</v>
      </c>
      <c r="H23" s="6">
        <f t="shared" ref="H23" si="76">H24-H36</f>
        <v>-8413854</v>
      </c>
      <c r="I23" s="6">
        <f t="shared" ref="I23:J23" si="77">I24-I36</f>
        <v>-7774384</v>
      </c>
      <c r="J23" s="6">
        <f t="shared" si="77"/>
        <v>-8294624</v>
      </c>
      <c r="K23" s="6">
        <f t="shared" ref="K23:M23" si="78">K24-K36</f>
        <v>-6609624</v>
      </c>
      <c r="L23" s="6">
        <f t="shared" si="78"/>
        <v>-5892549</v>
      </c>
      <c r="M23" s="6">
        <f t="shared" si="78"/>
        <v>-6432922</v>
      </c>
      <c r="N23" s="6">
        <f t="shared" ref="N23:V23" si="79">N24-N36</f>
        <v>-7405375</v>
      </c>
      <c r="O23" s="6">
        <f t="shared" si="79"/>
        <v>-6970235</v>
      </c>
      <c r="P23" s="6">
        <f t="shared" si="79"/>
        <v>-7324153</v>
      </c>
      <c r="Q23" s="6">
        <f t="shared" si="79"/>
        <v>-6757401</v>
      </c>
      <c r="R23" s="6">
        <f t="shared" si="79"/>
        <v>-5999065</v>
      </c>
      <c r="S23" s="6">
        <f t="shared" si="79"/>
        <v>-6645928</v>
      </c>
      <c r="T23" s="6">
        <f t="shared" si="79"/>
        <v>-6062686</v>
      </c>
      <c r="U23" s="6">
        <f t="shared" si="79"/>
        <v>-5138628</v>
      </c>
      <c r="V23" s="6">
        <f t="shared" si="79"/>
        <v>-5400477</v>
      </c>
      <c r="AR23" s="6">
        <v>-5400477</v>
      </c>
      <c r="AS23" s="2">
        <f>AR23+AS15</f>
        <v>11073209.709999999</v>
      </c>
      <c r="AT23" s="2">
        <f t="shared" ref="AT23:BC23" si="80">AS23+AT15</f>
        <v>29351350.581699997</v>
      </c>
      <c r="AU23" s="2">
        <f t="shared" si="80"/>
        <v>49617080.036208995</v>
      </c>
      <c r="AV23" s="2">
        <f t="shared" si="80"/>
        <v>72071877.081601933</v>
      </c>
      <c r="AW23" s="2">
        <f t="shared" si="80"/>
        <v>96937399.262751162</v>
      </c>
      <c r="AX23" s="2">
        <f t="shared" si="80"/>
        <v>124457499.93937573</v>
      </c>
      <c r="AY23" s="2">
        <f t="shared" si="80"/>
        <v>154900447.22096542</v>
      </c>
      <c r="AZ23" s="2">
        <f t="shared" si="80"/>
        <v>188561364.7198776</v>
      </c>
      <c r="BA23" s="2">
        <f t="shared" si="80"/>
        <v>225764916.29979828</v>
      </c>
      <c r="BB23" s="2">
        <f t="shared" si="80"/>
        <v>266868259.2142297</v>
      </c>
      <c r="BC23" s="2">
        <f t="shared" si="80"/>
        <v>312264292.46887136</v>
      </c>
    </row>
    <row r="24" spans="2:55" x14ac:dyDescent="0.2">
      <c r="B24" s="2" t="s">
        <v>3</v>
      </c>
      <c r="C24" s="6">
        <v>8403705</v>
      </c>
      <c r="D24" s="6">
        <v>7777530</v>
      </c>
      <c r="E24" s="6">
        <v>8403705</v>
      </c>
      <c r="F24" s="6">
        <f>6027804</f>
        <v>6027804</v>
      </c>
      <c r="G24" s="6">
        <v>6008946</v>
      </c>
      <c r="H24" s="6">
        <f>5819449</f>
        <v>5819449</v>
      </c>
      <c r="I24" s="6">
        <f>6113733</f>
        <v>6113733</v>
      </c>
      <c r="J24" s="6">
        <f>5147176+911276</f>
        <v>6058452</v>
      </c>
      <c r="K24" s="6">
        <f>6714594+1112910</f>
        <v>7827504</v>
      </c>
      <c r="L24" s="6">
        <f>7662788+914201</f>
        <v>8576989</v>
      </c>
      <c r="M24" s="6">
        <f>7353245+514201</f>
        <v>7867446</v>
      </c>
      <c r="N24" s="6">
        <f>7116913+20973</f>
        <v>7137886</v>
      </c>
      <c r="O24" s="6">
        <f>7024766+20973</f>
        <v>7045739</v>
      </c>
      <c r="P24" s="6">
        <f>6624939+30973</f>
        <v>6655912</v>
      </c>
      <c r="Q24" s="6">
        <f>7457025+1766902</f>
        <v>9223927</v>
      </c>
      <c r="R24" s="6">
        <f>7804733+1779006</f>
        <v>9583739</v>
      </c>
      <c r="S24" s="6">
        <f>7199848+1171142</f>
        <v>8370990</v>
      </c>
      <c r="T24" s="6">
        <f>8177405+213115</f>
        <v>8390520</v>
      </c>
      <c r="U24" s="6">
        <f>9287287+37105</f>
        <v>9324392</v>
      </c>
      <c r="V24" s="6">
        <f>9033681+28678</f>
        <v>9062359</v>
      </c>
    </row>
    <row r="25" spans="2:55" x14ac:dyDescent="0.2">
      <c r="B25" s="2" t="s">
        <v>60</v>
      </c>
      <c r="C25" s="6">
        <v>1703803</v>
      </c>
      <c r="D25" s="6">
        <v>1826746</v>
      </c>
      <c r="E25" s="6">
        <v>1703803</v>
      </c>
      <c r="F25" s="6">
        <v>2042021</v>
      </c>
      <c r="G25" s="6">
        <v>2089069</v>
      </c>
      <c r="H25" s="6">
        <v>2021329</v>
      </c>
      <c r="I25" s="6">
        <v>2703170</v>
      </c>
      <c r="J25" s="6">
        <v>3208021</v>
      </c>
      <c r="K25" s="6">
        <v>2655119</v>
      </c>
      <c r="L25" s="6">
        <v>2929347</v>
      </c>
      <c r="M25" s="6">
        <v>2912028</v>
      </c>
      <c r="N25" s="6">
        <v>2780247</v>
      </c>
      <c r="O25" s="6">
        <v>2875574</v>
      </c>
      <c r="P25" s="6">
        <v>2959641</v>
      </c>
      <c r="Q25" s="6">
        <v>2905172</v>
      </c>
      <c r="R25" s="6">
        <v>3516640</v>
      </c>
      <c r="S25" s="6">
        <v>3326642</v>
      </c>
      <c r="T25" s="6">
        <v>3602586</v>
      </c>
      <c r="U25" s="6">
        <v>3638543</v>
      </c>
      <c r="V25" s="6">
        <v>3957832</v>
      </c>
      <c r="AS25" s="2" t="s">
        <v>94</v>
      </c>
      <c r="AT25" s="13">
        <f>NPV(AT26,AS15:DH15)</f>
        <v>403513361.92858946</v>
      </c>
    </row>
    <row r="26" spans="2:55" x14ac:dyDescent="0.2">
      <c r="B26" s="2" t="s">
        <v>47</v>
      </c>
      <c r="C26" s="6">
        <v>26043991</v>
      </c>
      <c r="D26" s="6">
        <v>27291640</v>
      </c>
      <c r="E26" s="6">
        <v>26043991</v>
      </c>
      <c r="F26" s="6">
        <v>30919539</v>
      </c>
      <c r="G26" s="6">
        <v>31191920</v>
      </c>
      <c r="H26" s="6">
        <v>32533199</v>
      </c>
      <c r="I26" s="6">
        <v>32777340</v>
      </c>
      <c r="J26" s="6">
        <v>32736713</v>
      </c>
      <c r="K26" s="6">
        <v>32349184</v>
      </c>
      <c r="L26" s="6">
        <v>32520774</v>
      </c>
      <c r="M26" s="6">
        <v>31749861</v>
      </c>
      <c r="N26" s="6">
        <v>31658056</v>
      </c>
      <c r="O26" s="6">
        <v>31662100</v>
      </c>
      <c r="P26" s="6">
        <v>31927355</v>
      </c>
      <c r="Q26" s="6">
        <v>32175382</v>
      </c>
      <c r="R26" s="6">
        <v>32452462</v>
      </c>
      <c r="S26" s="6">
        <v>32040839</v>
      </c>
      <c r="T26" s="6">
        <v>32089394</v>
      </c>
      <c r="U26" s="6">
        <v>32639879</v>
      </c>
      <c r="V26" s="6">
        <v>32778392</v>
      </c>
      <c r="AS26" s="2" t="s">
        <v>96</v>
      </c>
      <c r="AT26" s="12">
        <v>0.08</v>
      </c>
    </row>
    <row r="27" spans="2:55" x14ac:dyDescent="0.2">
      <c r="B27" s="2" t="s">
        <v>48</v>
      </c>
      <c r="C27" s="6">
        <v>1015419</v>
      </c>
      <c r="D27" s="6">
        <v>1107437</v>
      </c>
      <c r="E27" s="6">
        <v>1015419</v>
      </c>
      <c r="F27" s="6">
        <v>1323453</v>
      </c>
      <c r="G27" s="6">
        <v>1383763</v>
      </c>
      <c r="H27" s="6">
        <v>1361920</v>
      </c>
      <c r="I27" s="6">
        <v>1372754</v>
      </c>
      <c r="J27" s="6">
        <v>1398257</v>
      </c>
      <c r="K27" s="6">
        <v>1413094</v>
      </c>
      <c r="L27" s="6">
        <v>1471968</v>
      </c>
      <c r="M27" s="6">
        <v>1498391</v>
      </c>
      <c r="N27" s="6">
        <v>1491444</v>
      </c>
      <c r="O27" s="6">
        <v>1501168</v>
      </c>
      <c r="P27" s="6">
        <v>1510958</v>
      </c>
      <c r="Q27" s="6">
        <v>1568212</v>
      </c>
      <c r="R27" s="6">
        <v>1593756</v>
      </c>
      <c r="S27" s="6">
        <v>1644346</v>
      </c>
      <c r="T27" s="6">
        <v>1743566</v>
      </c>
      <c r="U27" s="6">
        <v>1837889</v>
      </c>
      <c r="V27" s="6">
        <v>2004350</v>
      </c>
      <c r="AS27" s="2" t="s">
        <v>92</v>
      </c>
      <c r="AT27" s="12">
        <v>-0.01</v>
      </c>
    </row>
    <row r="28" spans="2:55" x14ac:dyDescent="0.2">
      <c r="B28" s="2" t="s">
        <v>49</v>
      </c>
      <c r="C28" s="6">
        <v>2956096</v>
      </c>
      <c r="D28" s="6">
        <v>2967616</v>
      </c>
      <c r="E28" s="6">
        <v>2956096</v>
      </c>
      <c r="F28" s="6">
        <v>4271846</v>
      </c>
      <c r="G28" s="6">
        <v>4657206</v>
      </c>
      <c r="H28" s="6">
        <v>4615038</v>
      </c>
      <c r="I28" s="6">
        <v>4595190</v>
      </c>
      <c r="J28" s="6">
        <v>5193325</v>
      </c>
      <c r="K28" s="6">
        <v>5245444</v>
      </c>
      <c r="L28" s="6">
        <v>5318395</v>
      </c>
      <c r="M28" s="6">
        <v>5474060</v>
      </c>
      <c r="N28" s="6">
        <v>5664359</v>
      </c>
      <c r="O28" s="7">
        <v>5743140</v>
      </c>
      <c r="P28" s="6">
        <v>6045029</v>
      </c>
      <c r="Q28" s="6">
        <v>6409151</v>
      </c>
      <c r="R28" s="6">
        <v>6483777</v>
      </c>
      <c r="S28" s="6">
        <v>6704827</v>
      </c>
      <c r="T28" s="6">
        <v>7273598</v>
      </c>
      <c r="U28" s="6">
        <v>7494132</v>
      </c>
      <c r="V28" s="6">
        <v>7794060</v>
      </c>
      <c r="AS28" s="2" t="s">
        <v>93</v>
      </c>
      <c r="AT28" s="12">
        <v>0.02</v>
      </c>
    </row>
    <row r="29" spans="2:55" x14ac:dyDescent="0.2">
      <c r="C29" s="9"/>
      <c r="D29" s="6"/>
      <c r="E29" s="6"/>
      <c r="F29" s="9"/>
      <c r="G29" s="9"/>
      <c r="H29" s="6"/>
      <c r="I29" s="6"/>
      <c r="J29" s="9"/>
      <c r="K29" s="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AS29" s="2" t="s">
        <v>95</v>
      </c>
      <c r="AT29" s="2">
        <f>AT25/Main!K4</f>
        <v>95.570317275507065</v>
      </c>
    </row>
    <row r="30" spans="2:55" x14ac:dyDescent="0.2">
      <c r="B30" s="2" t="s">
        <v>50</v>
      </c>
      <c r="C30" s="6">
        <f t="shared" ref="C30:E30" si="81">SUM(C24:C28)</f>
        <v>40123014</v>
      </c>
      <c r="D30" s="6">
        <f t="shared" si="81"/>
        <v>40970969</v>
      </c>
      <c r="E30" s="6">
        <f t="shared" si="81"/>
        <v>40123014</v>
      </c>
      <c r="F30" s="6">
        <f t="shared" ref="F30" si="82">SUM(F24:F28)</f>
        <v>44584663</v>
      </c>
      <c r="G30" s="6">
        <f t="shared" ref="G30:J30" si="83">SUM(G24:G28)</f>
        <v>45330904</v>
      </c>
      <c r="H30" s="6">
        <f t="shared" si="83"/>
        <v>46350935</v>
      </c>
      <c r="I30" s="6">
        <f t="shared" si="83"/>
        <v>47562187</v>
      </c>
      <c r="J30" s="6">
        <f t="shared" si="83"/>
        <v>48594768</v>
      </c>
      <c r="K30" s="6">
        <f t="shared" ref="K30:M30" si="84">SUM(K24:K28)</f>
        <v>49490345</v>
      </c>
      <c r="L30" s="6">
        <f t="shared" si="84"/>
        <v>50817473</v>
      </c>
      <c r="M30" s="6">
        <f t="shared" si="84"/>
        <v>49501786</v>
      </c>
      <c r="N30" s="6">
        <f t="shared" ref="N30:V30" si="85">SUM(N24:N28)</f>
        <v>48731992</v>
      </c>
      <c r="O30" s="6">
        <f t="shared" si="85"/>
        <v>48827721</v>
      </c>
      <c r="P30" s="6">
        <f t="shared" si="85"/>
        <v>49098895</v>
      </c>
      <c r="Q30" s="6">
        <f t="shared" si="85"/>
        <v>52281844</v>
      </c>
      <c r="R30" s="6">
        <f t="shared" si="85"/>
        <v>53630374</v>
      </c>
      <c r="S30" s="6">
        <f t="shared" si="85"/>
        <v>52087644</v>
      </c>
      <c r="T30" s="6">
        <f t="shared" si="85"/>
        <v>53099664</v>
      </c>
      <c r="U30" s="6">
        <f t="shared" si="85"/>
        <v>54934835</v>
      </c>
      <c r="V30" s="6">
        <f t="shared" si="85"/>
        <v>55596993</v>
      </c>
      <c r="AS30" s="3" t="s">
        <v>97</v>
      </c>
      <c r="AT30" s="14">
        <f>AT29/Main!K3-1</f>
        <v>0.24117295162996188</v>
      </c>
    </row>
    <row r="31" spans="2:55" x14ac:dyDescent="0.2"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</row>
    <row r="32" spans="2:55" x14ac:dyDescent="0.2">
      <c r="B32" s="2" t="s">
        <v>51</v>
      </c>
      <c r="C32" s="6">
        <v>4297957</v>
      </c>
      <c r="D32" s="6">
        <v>4197874</v>
      </c>
      <c r="E32" s="6">
        <v>4297957</v>
      </c>
      <c r="F32" s="6">
        <v>4292967</v>
      </c>
      <c r="G32" s="6">
        <v>4066289</v>
      </c>
      <c r="H32" s="6">
        <v>4174966</v>
      </c>
      <c r="I32" s="6">
        <v>4225890</v>
      </c>
      <c r="J32" s="6">
        <v>4480150</v>
      </c>
      <c r="K32" s="6">
        <v>4344580</v>
      </c>
      <c r="L32" s="6">
        <v>4440412</v>
      </c>
      <c r="M32" s="6">
        <v>4259582</v>
      </c>
      <c r="N32" s="6">
        <v>4466470</v>
      </c>
      <c r="O32" s="6">
        <v>4436021</v>
      </c>
      <c r="P32" s="6">
        <v>4391437</v>
      </c>
      <c r="Q32" s="6">
        <v>4489971</v>
      </c>
      <c r="R32" s="6">
        <v>4393681</v>
      </c>
      <c r="S32" s="6">
        <v>4128905</v>
      </c>
      <c r="T32" s="6">
        <v>4091770</v>
      </c>
      <c r="U32" s="6">
        <v>4102640</v>
      </c>
      <c r="V32" s="6">
        <v>4084854</v>
      </c>
    </row>
    <row r="33" spans="2:22" x14ac:dyDescent="0.2">
      <c r="B33" s="2" t="s">
        <v>52</v>
      </c>
      <c r="C33" s="6">
        <v>532942</v>
      </c>
      <c r="D33" s="6">
        <v>622931</v>
      </c>
      <c r="E33" s="6">
        <v>532942</v>
      </c>
      <c r="F33" s="6">
        <v>837483</v>
      </c>
      <c r="G33" s="6">
        <v>617202</v>
      </c>
      <c r="H33" s="6">
        <v>504278</v>
      </c>
      <c r="I33" s="6">
        <v>560156</v>
      </c>
      <c r="J33" s="6">
        <v>671513</v>
      </c>
      <c r="K33" s="6">
        <v>591987</v>
      </c>
      <c r="L33" s="6">
        <v>615374</v>
      </c>
      <c r="M33" s="6">
        <v>534429</v>
      </c>
      <c r="N33" s="6">
        <v>747412</v>
      </c>
      <c r="O33" s="6">
        <v>607348</v>
      </c>
      <c r="P33" s="6">
        <v>598557</v>
      </c>
      <c r="Q33" s="6">
        <v>641953</v>
      </c>
      <c r="R33" s="6">
        <v>899909</v>
      </c>
      <c r="S33" s="6">
        <v>614489</v>
      </c>
      <c r="T33" s="6">
        <v>632718</v>
      </c>
      <c r="U33" s="6">
        <v>793233</v>
      </c>
      <c r="V33" s="6">
        <v>900612</v>
      </c>
    </row>
    <row r="34" spans="2:22" x14ac:dyDescent="0.2">
      <c r="B34" s="2" t="s">
        <v>53</v>
      </c>
      <c r="C34" s="6">
        <v>1291812</v>
      </c>
      <c r="D34" s="6">
        <v>1125591</v>
      </c>
      <c r="E34" s="6">
        <v>1291812</v>
      </c>
      <c r="F34" s="6">
        <v>1449351</v>
      </c>
      <c r="G34" s="6">
        <v>1817117</v>
      </c>
      <c r="H34" s="6">
        <v>1596035</v>
      </c>
      <c r="I34" s="6">
        <v>1803555</v>
      </c>
      <c r="J34" s="6">
        <v>1514650</v>
      </c>
      <c r="K34" s="6">
        <v>1718069</v>
      </c>
      <c r="L34" s="6">
        <v>1908714</v>
      </c>
      <c r="M34" s="6">
        <v>1838908</v>
      </c>
      <c r="N34" s="6">
        <v>1803960</v>
      </c>
      <c r="O34" s="6">
        <v>1977428</v>
      </c>
      <c r="P34" s="6">
        <v>1876244</v>
      </c>
      <c r="Q34" s="6">
        <v>2241758</v>
      </c>
      <c r="R34" s="6">
        <v>2156544</v>
      </c>
      <c r="S34" s="6">
        <v>2359518</v>
      </c>
      <c r="T34" s="6">
        <v>2489486</v>
      </c>
      <c r="U34" s="6">
        <v>3111311</v>
      </c>
      <c r="V34" s="6">
        <v>3220869</v>
      </c>
    </row>
    <row r="35" spans="2:22" x14ac:dyDescent="0.2">
      <c r="B35" s="2" t="s">
        <v>54</v>
      </c>
      <c r="C35" s="6">
        <v>1140271</v>
      </c>
      <c r="D35" s="6">
        <v>1187364</v>
      </c>
      <c r="E35" s="6">
        <v>1140271</v>
      </c>
      <c r="F35" s="6">
        <v>1209342</v>
      </c>
      <c r="G35" s="6">
        <v>1239048</v>
      </c>
      <c r="H35" s="6">
        <v>1224743</v>
      </c>
      <c r="I35" s="6">
        <v>1176323</v>
      </c>
      <c r="J35" s="6">
        <v>1264661</v>
      </c>
      <c r="K35" s="6">
        <v>1262271</v>
      </c>
      <c r="L35" s="6">
        <v>1311918</v>
      </c>
      <c r="M35" s="6">
        <v>1306185</v>
      </c>
      <c r="N35" s="6">
        <v>1442969</v>
      </c>
      <c r="O35" s="6">
        <v>1469484</v>
      </c>
      <c r="P35" s="6">
        <v>1473720</v>
      </c>
      <c r="Q35" s="6">
        <v>1513048</v>
      </c>
      <c r="R35" s="6">
        <v>1520813</v>
      </c>
      <c r="S35" s="6">
        <v>1609726</v>
      </c>
      <c r="T35" s="6">
        <v>1728361</v>
      </c>
      <c r="U35" s="6">
        <v>1724675</v>
      </c>
      <c r="V35" s="6">
        <v>1775730</v>
      </c>
    </row>
    <row r="36" spans="2:22" x14ac:dyDescent="0.2">
      <c r="B36" s="2" t="s">
        <v>4</v>
      </c>
      <c r="C36" s="6">
        <f>698788+14860552</f>
        <v>15559340</v>
      </c>
      <c r="D36" s="6">
        <f>699128+14926889</f>
        <v>15626017</v>
      </c>
      <c r="E36" s="6">
        <f>698788+14860552</f>
        <v>15559340</v>
      </c>
      <c r="F36" s="6">
        <f>699823+14693027</f>
        <v>15392850</v>
      </c>
      <c r="G36" s="6">
        <v>14534561</v>
      </c>
      <c r="H36" s="6">
        <v>14233303</v>
      </c>
      <c r="I36" s="6">
        <v>13888117</v>
      </c>
      <c r="J36" s="6">
        <v>14353076</v>
      </c>
      <c r="K36" s="6">
        <f>399163+14037965</f>
        <v>14437128</v>
      </c>
      <c r="L36" s="6">
        <f>399387+14070151</f>
        <v>14469538</v>
      </c>
      <c r="M36" s="6">
        <f>399614+13900754</f>
        <v>14300368</v>
      </c>
      <c r="N36" s="6">
        <f>399844+14143417</f>
        <v>14543261</v>
      </c>
      <c r="O36" s="6">
        <f>798936+13217038</f>
        <v>14015974</v>
      </c>
      <c r="P36" s="6">
        <f>1800041+12180024</f>
        <v>13980065</v>
      </c>
      <c r="Q36" s="6">
        <f>1820396+14160932</f>
        <v>15981328</v>
      </c>
      <c r="R36" s="6">
        <f>1784453+13798351</f>
        <v>15582804</v>
      </c>
      <c r="S36" s="6">
        <f>1005881+14011037</f>
        <v>15016918</v>
      </c>
      <c r="T36" s="6">
        <v>14453206</v>
      </c>
      <c r="U36" s="6">
        <v>14463020</v>
      </c>
      <c r="V36" s="6">
        <f>998865+13463971</f>
        <v>14462836</v>
      </c>
    </row>
    <row r="37" spans="2:22" x14ac:dyDescent="0.2">
      <c r="B37" s="2" t="s">
        <v>55</v>
      </c>
      <c r="C37" s="6">
        <v>2465626</v>
      </c>
      <c r="D37" s="6">
        <v>2265286</v>
      </c>
      <c r="E37" s="6">
        <v>2465626</v>
      </c>
      <c r="F37" s="6">
        <v>3094213</v>
      </c>
      <c r="G37" s="6">
        <v>2945221</v>
      </c>
      <c r="H37" s="6">
        <f>2989961</f>
        <v>2989961</v>
      </c>
      <c r="I37" s="6">
        <v>2955368</v>
      </c>
      <c r="J37" s="6">
        <v>3081277</v>
      </c>
      <c r="K37" s="6">
        <v>2908029</v>
      </c>
      <c r="L37" s="6">
        <v>2849387</v>
      </c>
      <c r="M37" s="6">
        <v>2668472</v>
      </c>
      <c r="N37" s="6">
        <v>2578173</v>
      </c>
      <c r="O37" s="6">
        <v>2370692</v>
      </c>
      <c r="P37" s="6">
        <v>2029782</v>
      </c>
      <c r="Q37" s="6">
        <v>1918089</v>
      </c>
      <c r="R37" s="6">
        <v>1780806</v>
      </c>
      <c r="S37" s="6">
        <v>1696662</v>
      </c>
      <c r="T37" s="6">
        <v>1606404</v>
      </c>
      <c r="U37" s="6">
        <v>1591973</v>
      </c>
      <c r="V37" s="6">
        <v>1579476</v>
      </c>
    </row>
    <row r="38" spans="2:22" x14ac:dyDescent="0.2">
      <c r="B38" s="2" t="s">
        <v>56</v>
      </c>
      <c r="C38" s="6">
        <v>1950986</v>
      </c>
      <c r="D38" s="6">
        <v>2082035</v>
      </c>
      <c r="E38" s="6">
        <v>1950986</v>
      </c>
      <c r="F38" s="6">
        <v>2459164</v>
      </c>
      <c r="G38" s="6">
        <v>2567427</v>
      </c>
      <c r="H38" s="6">
        <v>2551675</v>
      </c>
      <c r="I38" s="6">
        <v>2424637</v>
      </c>
      <c r="J38" s="6">
        <v>2452040</v>
      </c>
      <c r="K38" s="6">
        <v>2400085</v>
      </c>
      <c r="L38" s="6">
        <v>2389915</v>
      </c>
      <c r="M38" s="6">
        <v>2486215</v>
      </c>
      <c r="N38" s="6">
        <v>2561434</v>
      </c>
      <c r="O38" s="6">
        <v>2585364</v>
      </c>
      <c r="P38" s="6">
        <v>2637397</v>
      </c>
      <c r="Q38" s="6">
        <v>2774961</v>
      </c>
      <c r="R38" s="6">
        <v>2552250</v>
      </c>
      <c r="S38" s="6">
        <v>2633353</v>
      </c>
      <c r="T38" s="6">
        <v>3145802</v>
      </c>
      <c r="U38" s="6">
        <v>3193948</v>
      </c>
      <c r="V38" s="6">
        <v>2957128</v>
      </c>
    </row>
    <row r="39" spans="2:22" x14ac:dyDescent="0.2"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</row>
    <row r="40" spans="2:22" x14ac:dyDescent="0.2">
      <c r="B40" s="2" t="s">
        <v>57</v>
      </c>
      <c r="C40" s="6">
        <f t="shared" ref="C40:E40" si="86">SUM(C32:C38)</f>
        <v>27238934</v>
      </c>
      <c r="D40" s="6">
        <f t="shared" si="86"/>
        <v>27107098</v>
      </c>
      <c r="E40" s="6">
        <f t="shared" si="86"/>
        <v>27238934</v>
      </c>
      <c r="F40" s="6">
        <f t="shared" ref="F40" si="87">SUM(F32:F38)</f>
        <v>28735370</v>
      </c>
      <c r="G40" s="6">
        <f t="shared" ref="G40:J40" si="88">SUM(G32:G38)</f>
        <v>27786865</v>
      </c>
      <c r="H40" s="6">
        <f t="shared" si="88"/>
        <v>27274961</v>
      </c>
      <c r="I40" s="6">
        <f t="shared" si="88"/>
        <v>27034046</v>
      </c>
      <c r="J40" s="6">
        <f t="shared" si="88"/>
        <v>27817367</v>
      </c>
      <c r="K40" s="6">
        <f t="shared" ref="K40:M40" si="89">SUM(K32:K38)</f>
        <v>27662149</v>
      </c>
      <c r="L40" s="6">
        <f t="shared" si="89"/>
        <v>27985258</v>
      </c>
      <c r="M40" s="6">
        <f t="shared" si="89"/>
        <v>27394159</v>
      </c>
      <c r="N40" s="6">
        <f t="shared" ref="N40:V40" si="90">SUM(N32:N38)</f>
        <v>28143679</v>
      </c>
      <c r="O40" s="6">
        <f t="shared" si="90"/>
        <v>27462311</v>
      </c>
      <c r="P40" s="6">
        <f t="shared" si="90"/>
        <v>26987202</v>
      </c>
      <c r="Q40" s="6">
        <f t="shared" si="90"/>
        <v>29561108</v>
      </c>
      <c r="R40" s="6">
        <f t="shared" si="90"/>
        <v>28886807</v>
      </c>
      <c r="S40" s="6">
        <f t="shared" si="90"/>
        <v>28059571</v>
      </c>
      <c r="T40" s="6">
        <f t="shared" si="90"/>
        <v>28147747</v>
      </c>
      <c r="U40" s="6">
        <f t="shared" si="90"/>
        <v>28980800</v>
      </c>
      <c r="V40" s="6">
        <f t="shared" si="90"/>
        <v>28981505</v>
      </c>
    </row>
    <row r="41" spans="2:22" x14ac:dyDescent="0.2"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</row>
    <row r="42" spans="2:22" x14ac:dyDescent="0.2">
      <c r="B42" s="2" t="s">
        <v>59</v>
      </c>
      <c r="C42" s="6">
        <v>12884080</v>
      </c>
      <c r="D42" s="6">
        <v>13863871</v>
      </c>
      <c r="E42" s="6">
        <v>12884080</v>
      </c>
      <c r="F42" s="6">
        <v>15849248</v>
      </c>
      <c r="G42" s="6">
        <v>17544039</v>
      </c>
      <c r="H42" s="6">
        <v>19075974</v>
      </c>
      <c r="I42" s="6">
        <v>20528141</v>
      </c>
      <c r="J42" s="6">
        <v>20777401</v>
      </c>
      <c r="K42" s="6">
        <v>21828196</v>
      </c>
      <c r="L42" s="6">
        <v>22832215</v>
      </c>
      <c r="M42" s="6">
        <v>22107627</v>
      </c>
      <c r="N42" s="6">
        <v>20588313</v>
      </c>
      <c r="O42" s="6">
        <v>21365410</v>
      </c>
      <c r="P42" s="6">
        <v>22112693</v>
      </c>
      <c r="Q42" s="6">
        <v>22720736</v>
      </c>
      <c r="R42" s="6">
        <v>24743567</v>
      </c>
      <c r="S42" s="6">
        <v>24028073</v>
      </c>
      <c r="T42" s="6">
        <v>24951899</v>
      </c>
      <c r="U42" s="6">
        <v>25954035</v>
      </c>
      <c r="V42" s="6">
        <v>26615488</v>
      </c>
    </row>
    <row r="43" spans="2:22" x14ac:dyDescent="0.2">
      <c r="B43" s="2" t="s">
        <v>58</v>
      </c>
      <c r="C43" s="6">
        <f t="shared" ref="C43" si="91">C42+C40</f>
        <v>40123014</v>
      </c>
      <c r="D43" s="6">
        <f t="shared" ref="D43" si="92">D42+D40</f>
        <v>40970969</v>
      </c>
      <c r="E43" s="6">
        <f t="shared" ref="E43" si="93">E42+E40</f>
        <v>40123014</v>
      </c>
      <c r="F43" s="6">
        <f t="shared" ref="F43:G43" si="94">F42+F40</f>
        <v>44584618</v>
      </c>
      <c r="G43" s="6">
        <f t="shared" si="94"/>
        <v>45330904</v>
      </c>
      <c r="H43" s="6">
        <f t="shared" ref="H43" si="95">H42+H40</f>
        <v>46350935</v>
      </c>
      <c r="I43" s="6">
        <f t="shared" ref="I43:J43" si="96">I42+I40</f>
        <v>47562187</v>
      </c>
      <c r="J43" s="6">
        <f t="shared" si="96"/>
        <v>48594768</v>
      </c>
      <c r="K43" s="6">
        <f t="shared" ref="K43:M43" si="97">K42+K40</f>
        <v>49490345</v>
      </c>
      <c r="L43" s="6">
        <f t="shared" si="97"/>
        <v>50817473</v>
      </c>
      <c r="M43" s="6">
        <f t="shared" si="97"/>
        <v>49501786</v>
      </c>
      <c r="N43" s="6">
        <f t="shared" ref="N43:V43" si="98">N42+N40</f>
        <v>48731992</v>
      </c>
      <c r="O43" s="6">
        <f t="shared" si="98"/>
        <v>48827721</v>
      </c>
      <c r="P43" s="6">
        <f t="shared" si="98"/>
        <v>49099895</v>
      </c>
      <c r="Q43" s="6">
        <f t="shared" si="98"/>
        <v>52281844</v>
      </c>
      <c r="R43" s="6">
        <f t="shared" si="98"/>
        <v>53630374</v>
      </c>
      <c r="S43" s="6">
        <f t="shared" si="98"/>
        <v>52087644</v>
      </c>
      <c r="T43" s="6">
        <f t="shared" si="98"/>
        <v>53099646</v>
      </c>
      <c r="U43" s="6">
        <f t="shared" si="98"/>
        <v>54934835</v>
      </c>
      <c r="V43" s="6">
        <f t="shared" si="98"/>
        <v>55596993</v>
      </c>
    </row>
    <row r="44" spans="2:22" x14ac:dyDescent="0.2"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</row>
    <row r="45" spans="2:22" x14ac:dyDescent="0.2">
      <c r="B45" s="2" t="s">
        <v>61</v>
      </c>
      <c r="C45" s="6">
        <f t="shared" ref="C45:T45" si="99">C15</f>
        <v>1706715</v>
      </c>
      <c r="D45" s="6">
        <f t="shared" si="99"/>
        <v>1353013</v>
      </c>
      <c r="E45" s="6">
        <f t="shared" si="99"/>
        <v>1449071</v>
      </c>
      <c r="F45" s="6">
        <f t="shared" ref="F45" si="100">F15</f>
        <v>607429</v>
      </c>
      <c r="G45" s="6">
        <f t="shared" si="99"/>
        <v>1597447</v>
      </c>
      <c r="H45" s="6">
        <f t="shared" si="99"/>
        <v>1440951</v>
      </c>
      <c r="I45" s="6">
        <f t="shared" si="99"/>
        <v>1398242</v>
      </c>
      <c r="J45" s="6">
        <f t="shared" ref="J45" si="101">J15</f>
        <v>55284</v>
      </c>
      <c r="K45" s="6">
        <f t="shared" si="99"/>
        <v>1305120</v>
      </c>
      <c r="L45" s="6">
        <f t="shared" si="99"/>
        <v>1487610</v>
      </c>
      <c r="M45" s="6">
        <f t="shared" si="99"/>
        <v>1677422</v>
      </c>
      <c r="N45" s="6">
        <f>N15</f>
        <v>937838</v>
      </c>
      <c r="O45" s="6">
        <f t="shared" si="99"/>
        <v>2332209</v>
      </c>
      <c r="P45" s="6">
        <f t="shared" si="99"/>
        <v>2147306</v>
      </c>
      <c r="Q45" s="6">
        <f t="shared" si="99"/>
        <v>2363509</v>
      </c>
      <c r="R45" s="6">
        <f>R15</f>
        <v>1868607</v>
      </c>
      <c r="S45" s="6">
        <f t="shared" si="99"/>
        <v>2890351</v>
      </c>
      <c r="T45" s="6">
        <f t="shared" si="99"/>
        <v>3125413</v>
      </c>
      <c r="U45" s="6">
        <f>U15</f>
        <v>2546916</v>
      </c>
      <c r="V45" s="6">
        <f>V15</f>
        <v>2418521</v>
      </c>
    </row>
    <row r="46" spans="2:22" x14ac:dyDescent="0.2">
      <c r="B46" s="2" t="s">
        <v>62</v>
      </c>
      <c r="C46" s="6">
        <v>1706715</v>
      </c>
      <c r="D46" s="6">
        <v>1353013</v>
      </c>
      <c r="E46" s="6">
        <v>1449071</v>
      </c>
      <c r="F46" s="6">
        <v>607429</v>
      </c>
      <c r="G46" s="6">
        <v>1597447</v>
      </c>
      <c r="H46" s="6">
        <v>1440951</v>
      </c>
      <c r="I46" s="6">
        <v>1398242</v>
      </c>
      <c r="J46" s="6">
        <v>55284</v>
      </c>
      <c r="K46" s="6">
        <v>1305120</v>
      </c>
      <c r="L46" s="6">
        <v>1487610</v>
      </c>
      <c r="M46" s="6">
        <v>1677422</v>
      </c>
      <c r="N46" s="6">
        <f>N45</f>
        <v>937838</v>
      </c>
      <c r="O46" s="6">
        <v>2332209</v>
      </c>
      <c r="P46" s="6">
        <v>2147306</v>
      </c>
      <c r="Q46" s="6">
        <v>2363509</v>
      </c>
      <c r="R46" s="6">
        <f>R45</f>
        <v>1868607</v>
      </c>
      <c r="S46" s="6">
        <v>2890351</v>
      </c>
      <c r="T46" s="6">
        <v>3125413</v>
      </c>
      <c r="U46" s="6">
        <v>2546916</v>
      </c>
      <c r="V46" s="6">
        <f>V45</f>
        <v>2418521</v>
      </c>
    </row>
    <row r="47" spans="2:22" x14ac:dyDescent="0.2">
      <c r="B47" s="2" t="s">
        <v>65</v>
      </c>
      <c r="C47" s="6">
        <v>-3284576</v>
      </c>
      <c r="D47" s="6">
        <v>-4096750</v>
      </c>
      <c r="E47" s="6">
        <v>-4666237</v>
      </c>
      <c r="F47" s="11">
        <v>-5654639</v>
      </c>
      <c r="G47" s="6">
        <v>-3584164</v>
      </c>
      <c r="H47" s="6">
        <v>-4687011</v>
      </c>
      <c r="I47" s="6">
        <v>-4582671</v>
      </c>
      <c r="J47" s="6">
        <v>-3985192</v>
      </c>
      <c r="K47" s="6">
        <v>-2458666</v>
      </c>
      <c r="L47" s="6">
        <v>-3683007</v>
      </c>
      <c r="M47" s="6">
        <v>-2883839</v>
      </c>
      <c r="N47" s="6">
        <v>-3529191</v>
      </c>
      <c r="O47" s="6">
        <v>-3728967</v>
      </c>
      <c r="P47" s="6">
        <v>-4048852</v>
      </c>
      <c r="Q47" s="6">
        <v>-4016396</v>
      </c>
      <c r="R47" s="6">
        <v>-4429402</v>
      </c>
      <c r="S47" s="6">
        <v>-3549657</v>
      </c>
      <c r="T47" s="6">
        <v>-3835813</v>
      </c>
      <c r="U47" s="6">
        <v>-4653935</v>
      </c>
      <c r="V47" s="6">
        <v>-5057212</v>
      </c>
    </row>
    <row r="48" spans="2:22" x14ac:dyDescent="0.2">
      <c r="B48" s="2" t="s">
        <v>66</v>
      </c>
      <c r="C48" s="6">
        <v>-266040</v>
      </c>
      <c r="D48" s="6">
        <v>-312208</v>
      </c>
      <c r="E48" s="6">
        <v>-29246</v>
      </c>
      <c r="F48" s="6">
        <v>840392</v>
      </c>
      <c r="G48" s="6">
        <v>-347149</v>
      </c>
      <c r="H48" s="6">
        <v>191228</v>
      </c>
      <c r="I48" s="6">
        <v>60867</v>
      </c>
      <c r="J48" s="6">
        <v>274364</v>
      </c>
      <c r="K48" s="6">
        <v>-354791</v>
      </c>
      <c r="L48" s="6">
        <v>46119</v>
      </c>
      <c r="M48" s="6">
        <v>-325989</v>
      </c>
      <c r="N48" s="6">
        <v>49059</v>
      </c>
      <c r="O48" s="6">
        <v>-189441</v>
      </c>
      <c r="P48" s="6">
        <v>-366572</v>
      </c>
      <c r="Q48" s="6">
        <v>-83585</v>
      </c>
      <c r="R48" s="6">
        <v>-139537</v>
      </c>
      <c r="S48" s="6">
        <v>-411253</v>
      </c>
      <c r="T48" s="6">
        <v>-214052</v>
      </c>
      <c r="U48" s="6">
        <v>24262</v>
      </c>
      <c r="V48" s="6">
        <v>-9795</v>
      </c>
    </row>
    <row r="49" spans="2:22" x14ac:dyDescent="0.2">
      <c r="B49" s="2" t="s">
        <v>67</v>
      </c>
      <c r="C49" s="6">
        <v>2719196</v>
      </c>
      <c r="D49" s="6">
        <v>2806803</v>
      </c>
      <c r="E49" s="6">
        <v>2963051</v>
      </c>
      <c r="F49" s="6">
        <v>3741317</v>
      </c>
      <c r="G49" s="6">
        <v>3166365</v>
      </c>
      <c r="H49" s="6">
        <v>3261348</v>
      </c>
      <c r="I49" s="6">
        <v>3653592</v>
      </c>
      <c r="J49" s="6">
        <v>3944827</v>
      </c>
      <c r="K49" s="6">
        <v>3459984</v>
      </c>
      <c r="L49" s="6">
        <v>3410021</v>
      </c>
      <c r="M49" s="6">
        <v>3573353</v>
      </c>
      <c r="N49" s="6">
        <v>3754079</v>
      </c>
      <c r="O49" s="6">
        <v>3670805</v>
      </c>
      <c r="P49" s="6">
        <v>3769690</v>
      </c>
      <c r="Q49" s="6">
        <v>3699521</v>
      </c>
      <c r="R49" s="6">
        <v>4161501</v>
      </c>
      <c r="S49" s="6">
        <v>3823112</v>
      </c>
      <c r="T49" s="6">
        <v>3832074</v>
      </c>
      <c r="U49" s="6">
        <v>4002744</v>
      </c>
      <c r="V49" s="6">
        <v>4764236</v>
      </c>
    </row>
    <row r="50" spans="2:22" x14ac:dyDescent="0.2">
      <c r="B50" s="2" t="s">
        <v>63</v>
      </c>
      <c r="C50" s="6">
        <v>35741</v>
      </c>
      <c r="D50" s="6">
        <v>38434</v>
      </c>
      <c r="E50" s="6">
        <v>70253</v>
      </c>
      <c r="F50" s="6">
        <v>63984</v>
      </c>
      <c r="G50" s="6">
        <v>74602</v>
      </c>
      <c r="H50" s="6">
        <v>83505</v>
      </c>
      <c r="I50" s="6">
        <v>85188</v>
      </c>
      <c r="J50" s="6">
        <v>93287</v>
      </c>
      <c r="K50" s="6">
        <v>90335</v>
      </c>
      <c r="L50" s="6">
        <v>89385</v>
      </c>
      <c r="M50" s="6">
        <v>90660</v>
      </c>
      <c r="N50" s="6">
        <v>86567</v>
      </c>
      <c r="O50" s="6">
        <v>87234</v>
      </c>
      <c r="P50" s="6">
        <v>81227</v>
      </c>
      <c r="Q50" s="6">
        <v>80914</v>
      </c>
      <c r="R50" s="6">
        <v>79539</v>
      </c>
      <c r="S50" s="6">
        <v>80067</v>
      </c>
      <c r="T50" s="6">
        <v>80013</v>
      </c>
      <c r="U50" s="6">
        <v>87326</v>
      </c>
      <c r="V50" s="6">
        <v>85983</v>
      </c>
    </row>
    <row r="51" spans="2:22" x14ac:dyDescent="0.2">
      <c r="B51" s="2" t="s">
        <v>64</v>
      </c>
      <c r="C51" s="6">
        <v>107230</v>
      </c>
      <c r="D51" s="6">
        <v>101583</v>
      </c>
      <c r="E51" s="6">
        <v>95078</v>
      </c>
      <c r="F51" s="6">
        <v>99329</v>
      </c>
      <c r="G51" s="6">
        <v>119209</v>
      </c>
      <c r="H51" s="6">
        <v>150392</v>
      </c>
      <c r="I51" s="6">
        <v>152062</v>
      </c>
      <c r="J51" s="6">
        <v>153789</v>
      </c>
      <c r="K51" s="6">
        <v>99099</v>
      </c>
      <c r="L51" s="6">
        <v>78030</v>
      </c>
      <c r="M51" s="6">
        <v>79720</v>
      </c>
      <c r="N51" s="6">
        <v>82519</v>
      </c>
      <c r="O51" s="6">
        <v>76345</v>
      </c>
      <c r="P51" s="6">
        <v>68766</v>
      </c>
      <c r="Q51" s="6">
        <v>65650</v>
      </c>
      <c r="R51" s="6">
        <v>61827</v>
      </c>
      <c r="S51" s="6">
        <v>71977</v>
      </c>
      <c r="T51" s="6">
        <v>80862</v>
      </c>
      <c r="U51" s="6">
        <v>80986</v>
      </c>
      <c r="V51" s="6">
        <v>134624</v>
      </c>
    </row>
    <row r="52" spans="2:22" x14ac:dyDescent="0.2">
      <c r="B52" s="2" t="s">
        <v>68</v>
      </c>
      <c r="C52" s="6">
        <v>-253330</v>
      </c>
      <c r="D52" s="6">
        <v>63074</v>
      </c>
      <c r="E52" s="6">
        <v>-136488</v>
      </c>
      <c r="F52" s="6">
        <v>-103917</v>
      </c>
      <c r="G52" s="6">
        <v>-161821</v>
      </c>
      <c r="H52" s="6">
        <v>-304513</v>
      </c>
      <c r="I52" s="6">
        <v>-348458</v>
      </c>
      <c r="J52" s="6">
        <v>461681</v>
      </c>
      <c r="K52" s="6">
        <v>80651</v>
      </c>
      <c r="L52" s="6">
        <v>28952</v>
      </c>
      <c r="M52" s="6">
        <v>-172678</v>
      </c>
      <c r="N52" s="6">
        <v>239371</v>
      </c>
      <c r="O52" s="6">
        <v>-130801</v>
      </c>
      <c r="P52" s="6">
        <v>-42692</v>
      </c>
      <c r="Q52" s="6">
        <v>104809</v>
      </c>
      <c r="R52" s="6">
        <v>-52855</v>
      </c>
      <c r="S52" s="6">
        <v>28547</v>
      </c>
      <c r="T52" s="6">
        <v>55238</v>
      </c>
      <c r="U52" s="6">
        <v>-1707</v>
      </c>
      <c r="V52" s="6">
        <v>-9730</v>
      </c>
    </row>
    <row r="53" spans="2:22" x14ac:dyDescent="0.2">
      <c r="B53" s="2" t="s">
        <v>69</v>
      </c>
      <c r="C53" s="6">
        <v>72657</v>
      </c>
      <c r="D53" s="6">
        <v>108103</v>
      </c>
      <c r="E53" s="6">
        <v>102211</v>
      </c>
      <c r="F53" s="6">
        <v>93806</v>
      </c>
      <c r="G53" s="6">
        <v>101968</v>
      </c>
      <c r="H53" s="6">
        <v>205374</v>
      </c>
      <c r="I53" s="6">
        <v>102513</v>
      </c>
      <c r="J53" s="6">
        <v>123688</v>
      </c>
      <c r="K53" s="6">
        <v>120008</v>
      </c>
      <c r="L53" s="6">
        <v>121483</v>
      </c>
      <c r="M53" s="6">
        <v>115688</v>
      </c>
      <c r="N53" s="6">
        <v>154896</v>
      </c>
      <c r="O53" s="6">
        <v>97181</v>
      </c>
      <c r="P53" s="6">
        <v>138588</v>
      </c>
      <c r="Q53" s="6">
        <v>128082</v>
      </c>
      <c r="R53" s="6">
        <v>130927</v>
      </c>
      <c r="S53" s="6">
        <v>114730</v>
      </c>
      <c r="T53" s="6">
        <v>120139</v>
      </c>
      <c r="U53" s="6">
        <v>142293</v>
      </c>
      <c r="V53" s="6">
        <v>200289</v>
      </c>
    </row>
    <row r="54" spans="2:22" x14ac:dyDescent="0.2">
      <c r="B54" s="2" t="s">
        <v>70</v>
      </c>
      <c r="C54" s="6">
        <v>159733</v>
      </c>
      <c r="D54" s="6">
        <v>51127</v>
      </c>
      <c r="E54" s="6">
        <v>50967</v>
      </c>
      <c r="F54" s="6">
        <v>-62279</v>
      </c>
      <c r="G54" s="6">
        <v>-68906</v>
      </c>
      <c r="H54" s="6">
        <v>-115820</v>
      </c>
      <c r="I54" s="6">
        <v>-57797</v>
      </c>
      <c r="J54" s="6">
        <v>75973</v>
      </c>
      <c r="K54" s="6">
        <v>-98782</v>
      </c>
      <c r="L54" s="6">
        <v>-103172</v>
      </c>
      <c r="M54" s="6">
        <v>-86277</v>
      </c>
      <c r="N54" s="6">
        <v>-171128</v>
      </c>
      <c r="O54" s="6">
        <v>-107077</v>
      </c>
      <c r="P54" s="6">
        <v>-209387</v>
      </c>
      <c r="Q54" s="6">
        <v>-200982</v>
      </c>
      <c r="R54" s="6">
        <v>-73252</v>
      </c>
      <c r="S54" s="6">
        <v>-163928</v>
      </c>
      <c r="T54" s="6">
        <v>-135755</v>
      </c>
      <c r="U54" s="6">
        <v>20539</v>
      </c>
      <c r="V54" s="6">
        <v>-162912</v>
      </c>
    </row>
    <row r="55" spans="2:22" x14ac:dyDescent="0.2">
      <c r="B55" s="2" t="s">
        <v>71</v>
      </c>
      <c r="C55" s="6">
        <v>-221555</v>
      </c>
      <c r="D55" s="6">
        <v>-52373</v>
      </c>
      <c r="E55" s="6">
        <v>-95145</v>
      </c>
      <c r="F55" s="6">
        <v>-608</v>
      </c>
      <c r="G55" s="6">
        <v>41157</v>
      </c>
      <c r="H55" s="6">
        <v>123399</v>
      </c>
      <c r="I55" s="6">
        <v>-120071</v>
      </c>
      <c r="J55" s="6">
        <v>-398319</v>
      </c>
      <c r="K55" s="6">
        <v>-88522</v>
      </c>
      <c r="L55" s="6">
        <v>-183049</v>
      </c>
      <c r="M55" s="6">
        <v>103766</v>
      </c>
      <c r="N55" s="6">
        <v>-13198</v>
      </c>
      <c r="O55" s="6">
        <v>38049</v>
      </c>
      <c r="P55" s="6">
        <v>-28959</v>
      </c>
      <c r="Q55" s="6">
        <v>54956</v>
      </c>
      <c r="R55" s="6">
        <v>-41866</v>
      </c>
      <c r="S55" s="6">
        <v>-131367</v>
      </c>
      <c r="T55" s="6">
        <v>-176683</v>
      </c>
      <c r="U55" s="6">
        <v>-169597</v>
      </c>
      <c r="V55" s="6">
        <v>-313014</v>
      </c>
    </row>
    <row r="56" spans="2:22" x14ac:dyDescent="0.2">
      <c r="B56" s="2" t="s">
        <v>72</v>
      </c>
      <c r="C56" s="6">
        <v>-137313</v>
      </c>
      <c r="D56" s="6">
        <v>72313</v>
      </c>
      <c r="E56" s="6">
        <v>24836</v>
      </c>
      <c r="F56" s="6">
        <v>185279</v>
      </c>
      <c r="G56" s="6">
        <v>-215444</v>
      </c>
      <c r="H56" s="6">
        <v>-122048</v>
      </c>
      <c r="I56" s="6">
        <v>53875</v>
      </c>
      <c r="J56" s="6">
        <v>125074</v>
      </c>
      <c r="K56" s="6">
        <v>-89668</v>
      </c>
      <c r="L56" s="6">
        <v>38332</v>
      </c>
      <c r="M56" s="6">
        <v>-68390</v>
      </c>
      <c r="N56" s="6">
        <v>213228</v>
      </c>
      <c r="O56" s="6">
        <v>-145265</v>
      </c>
      <c r="P56" s="6">
        <v>-19358</v>
      </c>
      <c r="Q56" s="6">
        <v>30597</v>
      </c>
      <c r="R56" s="6">
        <v>255379</v>
      </c>
      <c r="S56" s="6">
        <v>-276426</v>
      </c>
      <c r="T56" s="6">
        <v>11046</v>
      </c>
      <c r="U56" s="6">
        <v>139451</v>
      </c>
      <c r="V56" s="6">
        <v>117890</v>
      </c>
    </row>
    <row r="57" spans="2:22" x14ac:dyDescent="0.2">
      <c r="B57" s="2" t="s">
        <v>73</v>
      </c>
      <c r="C57" s="6">
        <v>177897</v>
      </c>
      <c r="D57" s="6">
        <v>-171430</v>
      </c>
      <c r="E57" s="6">
        <v>269774</v>
      </c>
      <c r="F57" s="6">
        <v>-95903</v>
      </c>
      <c r="G57" s="6">
        <v>350763</v>
      </c>
      <c r="H57" s="6">
        <v>-238719</v>
      </c>
      <c r="I57" s="6">
        <v>212072</v>
      </c>
      <c r="J57" s="6">
        <v>-379629</v>
      </c>
      <c r="K57" s="6">
        <v>185299</v>
      </c>
      <c r="L57" s="6">
        <v>177831</v>
      </c>
      <c r="M57" s="6">
        <v>-65029</v>
      </c>
      <c r="N57" s="6">
        <v>-194536</v>
      </c>
      <c r="O57" s="6">
        <v>251782</v>
      </c>
      <c r="P57" s="6">
        <v>-114303</v>
      </c>
      <c r="Q57" s="6">
        <v>179011</v>
      </c>
      <c r="R57" s="6">
        <v>-124591</v>
      </c>
      <c r="S57" s="6">
        <v>306413</v>
      </c>
      <c r="T57" s="6">
        <v>-267235</v>
      </c>
      <c r="U57" s="6">
        <v>707151</v>
      </c>
      <c r="V57" s="6">
        <v>134889</v>
      </c>
    </row>
    <row r="58" spans="2:22" x14ac:dyDescent="0.2">
      <c r="B58" s="2" t="s">
        <v>74</v>
      </c>
      <c r="C58" s="6">
        <v>22279</v>
      </c>
      <c r="D58" s="6">
        <v>47093</v>
      </c>
      <c r="E58" s="6">
        <v>-4732</v>
      </c>
      <c r="F58" s="6">
        <v>26710</v>
      </c>
      <c r="G58" s="6">
        <v>16743</v>
      </c>
      <c r="H58" s="6">
        <v>-10376</v>
      </c>
      <c r="I58" s="6">
        <v>-48420</v>
      </c>
      <c r="J58" s="6">
        <v>69409</v>
      </c>
      <c r="K58" s="6">
        <v>-2390</v>
      </c>
      <c r="L58" s="6">
        <v>49647</v>
      </c>
      <c r="M58" s="6">
        <v>-5733</v>
      </c>
      <c r="N58" s="6">
        <v>137184</v>
      </c>
      <c r="O58" s="6">
        <v>26515</v>
      </c>
      <c r="P58" s="6">
        <v>4236</v>
      </c>
      <c r="Q58" s="6">
        <v>39328</v>
      </c>
      <c r="R58" s="6">
        <v>7765</v>
      </c>
      <c r="S58" s="6">
        <v>88913</v>
      </c>
      <c r="T58" s="6">
        <v>118635</v>
      </c>
      <c r="U58" s="6">
        <v>-3686</v>
      </c>
      <c r="V58" s="6">
        <v>51055</v>
      </c>
    </row>
    <row r="59" spans="2:22" x14ac:dyDescent="0.2">
      <c r="B59" s="2" t="s">
        <v>75</v>
      </c>
      <c r="C59" s="6">
        <v>-61368</v>
      </c>
      <c r="D59" s="6">
        <v>-72543</v>
      </c>
      <c r="E59" s="6">
        <v>-11014</v>
      </c>
      <c r="F59" s="6">
        <v>-144174</v>
      </c>
      <c r="G59" s="6">
        <v>-167931</v>
      </c>
      <c r="H59" s="6">
        <v>125040</v>
      </c>
      <c r="I59" s="6">
        <v>-4184</v>
      </c>
      <c r="J59" s="6">
        <v>-170478</v>
      </c>
      <c r="K59" s="6">
        <v>-68937</v>
      </c>
      <c r="L59" s="6">
        <v>-117950</v>
      </c>
      <c r="M59" s="6">
        <v>-40359</v>
      </c>
      <c r="N59" s="6">
        <v>-83674</v>
      </c>
      <c r="O59" s="6">
        <v>-66047</v>
      </c>
      <c r="P59" s="6">
        <v>-88843</v>
      </c>
      <c r="Q59" s="6">
        <v>-124313</v>
      </c>
      <c r="R59" s="6">
        <v>-167148</v>
      </c>
      <c r="S59" s="6">
        <v>-82280</v>
      </c>
      <c r="T59" s="6">
        <v>-370624</v>
      </c>
      <c r="U59" s="6">
        <v>-97569</v>
      </c>
      <c r="V59" s="6">
        <v>-243182</v>
      </c>
    </row>
    <row r="60" spans="2:22" x14ac:dyDescent="0.2">
      <c r="B60" s="2" t="s">
        <v>76</v>
      </c>
      <c r="C60" s="6">
        <f t="shared" ref="C60:V60" si="102">SUM(C46:C59)</f>
        <v>777266</v>
      </c>
      <c r="D60" s="6">
        <f t="shared" si="102"/>
        <v>-63761</v>
      </c>
      <c r="E60" s="6">
        <f t="shared" si="102"/>
        <v>82379</v>
      </c>
      <c r="F60" s="6">
        <f t="shared" si="102"/>
        <v>-403274</v>
      </c>
      <c r="G60" s="6">
        <f t="shared" si="102"/>
        <v>922839</v>
      </c>
      <c r="H60" s="6">
        <f t="shared" si="102"/>
        <v>102750</v>
      </c>
      <c r="I60" s="6">
        <f t="shared" si="102"/>
        <v>556810</v>
      </c>
      <c r="J60" s="6">
        <f t="shared" si="102"/>
        <v>443758</v>
      </c>
      <c r="K60" s="6">
        <f t="shared" si="102"/>
        <v>2178740</v>
      </c>
      <c r="L60" s="6">
        <f t="shared" si="102"/>
        <v>1440232</v>
      </c>
      <c r="M60" s="6">
        <f t="shared" si="102"/>
        <v>1992315</v>
      </c>
      <c r="N60" s="6">
        <f t="shared" si="102"/>
        <v>1663014</v>
      </c>
      <c r="O60" s="6">
        <f t="shared" si="102"/>
        <v>2212522</v>
      </c>
      <c r="P60" s="6">
        <f t="shared" si="102"/>
        <v>1290847</v>
      </c>
      <c r="Q60" s="6">
        <f t="shared" si="102"/>
        <v>2321101</v>
      </c>
      <c r="R60" s="6">
        <f t="shared" si="102"/>
        <v>1536894</v>
      </c>
      <c r="S60" s="6">
        <f t="shared" si="102"/>
        <v>2789199</v>
      </c>
      <c r="T60" s="6">
        <f t="shared" si="102"/>
        <v>2423258</v>
      </c>
      <c r="U60" s="6">
        <f t="shared" si="102"/>
        <v>2825174</v>
      </c>
      <c r="V60" s="6">
        <f t="shared" si="102"/>
        <v>2111642</v>
      </c>
    </row>
    <row r="61" spans="2:22" x14ac:dyDescent="0.2"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</row>
    <row r="62" spans="2:22" x14ac:dyDescent="0.2">
      <c r="B62" s="2" t="s">
        <v>77</v>
      </c>
      <c r="C62" s="6">
        <v>-81001</v>
      </c>
      <c r="D62" s="6">
        <v>-110278</v>
      </c>
      <c r="E62" s="6">
        <v>-167327</v>
      </c>
      <c r="F62" s="6">
        <v>-165979</v>
      </c>
      <c r="G62" s="6">
        <v>-121158</v>
      </c>
      <c r="H62" s="6">
        <v>-90018</v>
      </c>
      <c r="I62" s="6">
        <v>-84960</v>
      </c>
      <c r="J62" s="6">
        <v>-111593</v>
      </c>
      <c r="K62" s="6">
        <v>-62019</v>
      </c>
      <c r="L62" s="6">
        <v>-100972</v>
      </c>
      <c r="M62" s="6">
        <v>-103929</v>
      </c>
      <c r="N62" s="6">
        <v>-81632</v>
      </c>
      <c r="O62" s="6">
        <v>-71714</v>
      </c>
      <c r="P62" s="6">
        <v>-78287</v>
      </c>
      <c r="Q62" s="6">
        <v>-126863</v>
      </c>
      <c r="R62" s="6">
        <v>-158674</v>
      </c>
      <c r="S62" s="6">
        <v>-128277</v>
      </c>
      <c r="T62" s="6">
        <v>-155889</v>
      </c>
      <c r="U62" s="6">
        <v>-164719</v>
      </c>
      <c r="V62" s="6">
        <v>-239335</v>
      </c>
    </row>
    <row r="63" spans="2:22" x14ac:dyDescent="0.2">
      <c r="B63" s="2" t="s">
        <v>83</v>
      </c>
      <c r="C63" s="6">
        <v>-4615</v>
      </c>
      <c r="D63" s="6">
        <v>-1000</v>
      </c>
      <c r="E63" s="6">
        <v>-21304</v>
      </c>
      <c r="F63" s="6">
        <v>0</v>
      </c>
      <c r="G63" s="6">
        <v>0</v>
      </c>
      <c r="H63" s="6">
        <v>0</v>
      </c>
      <c r="I63" s="6">
        <v>0</v>
      </c>
      <c r="J63" s="6">
        <v>-563990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-1742246</v>
      </c>
      <c r="R63" s="6">
        <v>0</v>
      </c>
      <c r="S63" s="6">
        <v>-156015</v>
      </c>
      <c r="T63" s="6">
        <v>-1650</v>
      </c>
      <c r="U63" s="6">
        <v>-3850</v>
      </c>
      <c r="V63" s="6">
        <v>-17194</v>
      </c>
    </row>
    <row r="64" spans="2:22" x14ac:dyDescent="0.2">
      <c r="B64" s="2" t="s">
        <v>84</v>
      </c>
      <c r="C64" s="6">
        <v>0</v>
      </c>
      <c r="D64" s="6">
        <v>0</v>
      </c>
      <c r="E64" s="6">
        <v>0</v>
      </c>
      <c r="F64" s="6">
        <v>0</v>
      </c>
      <c r="G64" s="6">
        <v>0</v>
      </c>
      <c r="H64" s="6">
        <v>0</v>
      </c>
      <c r="I64" s="6">
        <v>0</v>
      </c>
      <c r="J64" s="6">
        <v>0</v>
      </c>
      <c r="K64" s="6">
        <v>0</v>
      </c>
      <c r="L64" s="6">
        <v>-303228</v>
      </c>
      <c r="M64" s="6">
        <v>0</v>
      </c>
      <c r="N64" s="6">
        <v>493228</v>
      </c>
      <c r="O64" s="6">
        <v>0</v>
      </c>
      <c r="P64" s="6">
        <v>0</v>
      </c>
      <c r="Q64" s="6">
        <v>0</v>
      </c>
      <c r="R64" s="6">
        <v>0</v>
      </c>
      <c r="S64" s="6">
        <v>769954</v>
      </c>
      <c r="T64" s="6">
        <v>962413</v>
      </c>
      <c r="U64" s="6">
        <v>176250</v>
      </c>
      <c r="V64" s="6">
        <v>-8450</v>
      </c>
    </row>
    <row r="65" spans="2:22" x14ac:dyDescent="0.2">
      <c r="B65" s="2" t="s">
        <v>85</v>
      </c>
      <c r="C65" s="6">
        <v>0</v>
      </c>
      <c r="D65" s="6">
        <v>0</v>
      </c>
      <c r="E65" s="6">
        <v>0</v>
      </c>
      <c r="F65" s="6">
        <v>-788349</v>
      </c>
      <c r="G65" s="6">
        <v>-124521</v>
      </c>
      <c r="H65" s="6">
        <v>-68876</v>
      </c>
      <c r="I65" s="6">
        <v>0</v>
      </c>
      <c r="J65" s="6">
        <v>-911276</v>
      </c>
      <c r="K65" s="6">
        <v>-201634</v>
      </c>
      <c r="L65" s="6">
        <v>501937</v>
      </c>
      <c r="M65" s="6">
        <v>400000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-36190</v>
      </c>
      <c r="U65" s="6">
        <v>36190</v>
      </c>
      <c r="V65" s="6">
        <v>8450</v>
      </c>
    </row>
    <row r="66" spans="2:22" x14ac:dyDescent="0.2">
      <c r="B66" s="2" t="s">
        <v>78</v>
      </c>
      <c r="C66" s="6">
        <f t="shared" ref="C66:V66" si="103">SUM(C62:C65)</f>
        <v>-85616</v>
      </c>
      <c r="D66" s="6">
        <f t="shared" si="103"/>
        <v>-111278</v>
      </c>
      <c r="E66" s="6">
        <f t="shared" si="103"/>
        <v>-188631</v>
      </c>
      <c r="F66" s="6">
        <f t="shared" si="103"/>
        <v>-954328</v>
      </c>
      <c r="G66" s="6">
        <f t="shared" si="103"/>
        <v>-245679</v>
      </c>
      <c r="H66" s="6">
        <f t="shared" si="103"/>
        <v>-158894</v>
      </c>
      <c r="I66" s="6">
        <f t="shared" si="103"/>
        <v>-84960</v>
      </c>
      <c r="J66" s="6">
        <f t="shared" si="103"/>
        <v>-1586859</v>
      </c>
      <c r="K66" s="6">
        <f t="shared" si="103"/>
        <v>-263653</v>
      </c>
      <c r="L66" s="6">
        <f t="shared" si="103"/>
        <v>97737</v>
      </c>
      <c r="M66" s="6">
        <f t="shared" si="103"/>
        <v>296071</v>
      </c>
      <c r="N66" s="6">
        <f t="shared" si="103"/>
        <v>411596</v>
      </c>
      <c r="O66" s="6">
        <f t="shared" si="103"/>
        <v>-71714</v>
      </c>
      <c r="P66" s="6">
        <f t="shared" si="103"/>
        <v>-78287</v>
      </c>
      <c r="Q66" s="6">
        <f t="shared" si="103"/>
        <v>-1869109</v>
      </c>
      <c r="R66" s="6">
        <f t="shared" si="103"/>
        <v>-158674</v>
      </c>
      <c r="S66" s="6">
        <f t="shared" si="103"/>
        <v>485662</v>
      </c>
      <c r="T66" s="6">
        <f t="shared" si="103"/>
        <v>768684</v>
      </c>
      <c r="U66" s="6">
        <f t="shared" si="103"/>
        <v>43871</v>
      </c>
      <c r="V66" s="6">
        <f t="shared" si="103"/>
        <v>-256529</v>
      </c>
    </row>
    <row r="67" spans="2:22" x14ac:dyDescent="0.2"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5"/>
      <c r="Q67" s="6"/>
      <c r="R67" s="6"/>
      <c r="S67" s="6"/>
      <c r="T67" s="6"/>
      <c r="U67" s="6"/>
      <c r="V67" s="6"/>
    </row>
    <row r="68" spans="2:22" x14ac:dyDescent="0.2">
      <c r="B68" s="2" t="s">
        <v>86</v>
      </c>
      <c r="C68" s="6">
        <v>0</v>
      </c>
      <c r="D68" s="6">
        <v>0</v>
      </c>
      <c r="E68" s="6">
        <v>0</v>
      </c>
      <c r="F68" s="6">
        <v>0</v>
      </c>
      <c r="G68" s="6">
        <v>-700000</v>
      </c>
      <c r="H68" s="6">
        <v>0</v>
      </c>
      <c r="I68" s="6"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-400000</v>
      </c>
      <c r="P68" s="6">
        <v>0</v>
      </c>
      <c r="Q68" s="6">
        <v>1794460</v>
      </c>
      <c r="R68" s="6">
        <v>0</v>
      </c>
      <c r="S68" s="6">
        <v>-800000</v>
      </c>
      <c r="T68" s="6">
        <v>-1033450</v>
      </c>
      <c r="U68" s="6">
        <v>0</v>
      </c>
      <c r="V68" s="6">
        <v>0</v>
      </c>
    </row>
    <row r="69" spans="2:22" x14ac:dyDescent="0.2">
      <c r="B69" s="2" t="s">
        <v>79</v>
      </c>
      <c r="C69" s="6">
        <v>48071</v>
      </c>
      <c r="D69" s="6">
        <v>19749</v>
      </c>
      <c r="E69" s="6">
        <v>18445</v>
      </c>
      <c r="F69" s="6">
        <v>0</v>
      </c>
      <c r="G69" s="6">
        <v>13678</v>
      </c>
      <c r="H69" s="6">
        <v>11250</v>
      </c>
      <c r="I69" s="6">
        <v>4113</v>
      </c>
      <c r="J69" s="6">
        <v>0</v>
      </c>
      <c r="K69" s="6">
        <v>26028</v>
      </c>
      <c r="L69" s="6">
        <v>34717</v>
      </c>
      <c r="M69" s="6">
        <v>57818</v>
      </c>
      <c r="N69" s="6">
        <v>51427</v>
      </c>
      <c r="O69" s="6">
        <v>268881</v>
      </c>
      <c r="P69" s="6">
        <v>118750</v>
      </c>
      <c r="Q69" s="6">
        <v>143244</v>
      </c>
      <c r="R69" s="6">
        <v>302012</v>
      </c>
      <c r="S69" s="6">
        <v>351602</v>
      </c>
      <c r="T69" s="6">
        <v>169066</v>
      </c>
      <c r="U69" s="6">
        <v>70215</v>
      </c>
      <c r="V69" s="6">
        <v>76082</v>
      </c>
    </row>
    <row r="70" spans="2:22" x14ac:dyDescent="0.2">
      <c r="B70" s="2" t="s">
        <v>87</v>
      </c>
      <c r="C70" s="6">
        <v>-500000</v>
      </c>
      <c r="D70" s="6">
        <v>-500022</v>
      </c>
      <c r="E70" s="6">
        <v>100000</v>
      </c>
      <c r="F70" s="6">
        <v>88149</v>
      </c>
      <c r="G70" s="6">
        <v>0</v>
      </c>
      <c r="H70" s="6">
        <v>0</v>
      </c>
      <c r="I70" s="6">
        <v>0</v>
      </c>
      <c r="J70" s="6">
        <v>6705</v>
      </c>
      <c r="K70" s="6">
        <v>-400101</v>
      </c>
      <c r="L70" s="6">
        <v>-645146</v>
      </c>
      <c r="M70" s="6">
        <v>-2500100</v>
      </c>
      <c r="N70" s="6">
        <v>-2500000</v>
      </c>
      <c r="O70" s="6">
        <v>-2000000</v>
      </c>
      <c r="P70" s="6">
        <v>-1599998</v>
      </c>
      <c r="Q70" s="6">
        <v>-1700000</v>
      </c>
      <c r="R70" s="6">
        <v>-963748</v>
      </c>
      <c r="S70" s="6">
        <v>-3536396</v>
      </c>
      <c r="T70" s="6">
        <v>-1654327</v>
      </c>
      <c r="U70" s="6">
        <v>-1856885</v>
      </c>
      <c r="V70" s="6">
        <v>-2079559</v>
      </c>
    </row>
    <row r="71" spans="2:22" x14ac:dyDescent="0.2">
      <c r="B71" s="2" t="s">
        <v>88</v>
      </c>
      <c r="C71" s="6">
        <v>0</v>
      </c>
      <c r="D71" s="6">
        <v>0</v>
      </c>
      <c r="E71" s="6">
        <v>0</v>
      </c>
      <c r="F71" s="6">
        <v>-224168</v>
      </c>
      <c r="G71" s="6">
        <v>0</v>
      </c>
      <c r="H71" s="6">
        <v>0</v>
      </c>
      <c r="I71" s="6">
        <v>0</v>
      </c>
      <c r="J71" s="6">
        <v>0</v>
      </c>
      <c r="K71" s="6">
        <v>0</v>
      </c>
      <c r="L71" s="6">
        <v>-38920</v>
      </c>
      <c r="M71" s="6">
        <v>-32826</v>
      </c>
      <c r="N71" s="6">
        <v>-3700</v>
      </c>
      <c r="O71" s="6">
        <v>-1825</v>
      </c>
      <c r="P71" s="6">
        <v>-1883</v>
      </c>
      <c r="Q71" s="6">
        <v>-2024</v>
      </c>
      <c r="R71" s="6">
        <v>-2553</v>
      </c>
      <c r="S71" s="6">
        <v>-27870</v>
      </c>
      <c r="T71" s="6">
        <v>-6114</v>
      </c>
      <c r="U71" s="6">
        <v>-6196</v>
      </c>
      <c r="V71" s="6">
        <v>-5985</v>
      </c>
    </row>
    <row r="72" spans="2:22" x14ac:dyDescent="0.2">
      <c r="B72" s="2" t="s">
        <v>89</v>
      </c>
      <c r="C72" s="6">
        <v>0</v>
      </c>
      <c r="D72" s="6">
        <v>0</v>
      </c>
      <c r="E72" s="6">
        <v>0</v>
      </c>
      <c r="F72" s="6">
        <v>0</v>
      </c>
      <c r="G72" s="6">
        <v>0</v>
      </c>
      <c r="H72" s="6">
        <v>0</v>
      </c>
      <c r="I72" s="6"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-6250</v>
      </c>
      <c r="Q72" s="6">
        <v>-9084</v>
      </c>
      <c r="R72" s="6">
        <v>-14409</v>
      </c>
      <c r="S72" s="6">
        <v>-15652</v>
      </c>
      <c r="T72" s="6">
        <v>21957</v>
      </c>
      <c r="U72" s="6">
        <v>55837</v>
      </c>
      <c r="V72" s="6">
        <v>-67948</v>
      </c>
    </row>
    <row r="73" spans="2:22" x14ac:dyDescent="0.2">
      <c r="B73" s="2" t="s">
        <v>80</v>
      </c>
      <c r="C73" s="6">
        <f t="shared" ref="C73:V73" si="104">SUM(C68:C72)</f>
        <v>-451929</v>
      </c>
      <c r="D73" s="6">
        <f t="shared" si="104"/>
        <v>-480273</v>
      </c>
      <c r="E73" s="6">
        <f t="shared" si="104"/>
        <v>118445</v>
      </c>
      <c r="F73" s="6">
        <f t="shared" si="104"/>
        <v>-136019</v>
      </c>
      <c r="G73" s="6">
        <f t="shared" si="104"/>
        <v>-686322</v>
      </c>
      <c r="H73" s="6">
        <f t="shared" si="104"/>
        <v>11250</v>
      </c>
      <c r="I73" s="6">
        <f t="shared" si="104"/>
        <v>4113</v>
      </c>
      <c r="J73" s="6">
        <f t="shared" si="104"/>
        <v>6705</v>
      </c>
      <c r="K73" s="6">
        <f t="shared" si="104"/>
        <v>-374073</v>
      </c>
      <c r="L73" s="6">
        <f t="shared" si="104"/>
        <v>-649349</v>
      </c>
      <c r="M73" s="6">
        <f t="shared" si="104"/>
        <v>-2475108</v>
      </c>
      <c r="N73" s="6">
        <f t="shared" si="104"/>
        <v>-2452273</v>
      </c>
      <c r="O73" s="6">
        <f t="shared" si="104"/>
        <v>-2132944</v>
      </c>
      <c r="P73" s="6">
        <f t="shared" si="104"/>
        <v>-1489381</v>
      </c>
      <c r="Q73" s="6">
        <f t="shared" si="104"/>
        <v>226596</v>
      </c>
      <c r="R73" s="6">
        <f t="shared" si="104"/>
        <v>-678698</v>
      </c>
      <c r="S73" s="6">
        <f t="shared" si="104"/>
        <v>-4028316</v>
      </c>
      <c r="T73" s="6">
        <f t="shared" si="104"/>
        <v>-2502868</v>
      </c>
      <c r="U73" s="6">
        <f t="shared" si="104"/>
        <v>-1737029</v>
      </c>
      <c r="V73" s="6">
        <f t="shared" si="104"/>
        <v>-2077410</v>
      </c>
    </row>
    <row r="74" spans="2:22" x14ac:dyDescent="0.2">
      <c r="B74" s="2" t="s">
        <v>81</v>
      </c>
      <c r="C74" s="6">
        <v>-42138</v>
      </c>
      <c r="D74" s="6">
        <v>23477</v>
      </c>
      <c r="E74" s="6">
        <v>-63843</v>
      </c>
      <c r="F74" s="6">
        <v>-4236</v>
      </c>
      <c r="G74" s="6">
        <v>-11448</v>
      </c>
      <c r="H74" s="6">
        <v>-145198</v>
      </c>
      <c r="I74" s="6">
        <v>-180058</v>
      </c>
      <c r="J74" s="6">
        <v>166564</v>
      </c>
      <c r="K74" s="6">
        <v>26423</v>
      </c>
      <c r="L74" s="6">
        <v>39626</v>
      </c>
      <c r="M74" s="6">
        <v>-122707</v>
      </c>
      <c r="N74" s="6">
        <v>139342</v>
      </c>
      <c r="O74" s="6">
        <v>-95790</v>
      </c>
      <c r="P74" s="6">
        <v>-122723</v>
      </c>
      <c r="Q74" s="6">
        <v>153452</v>
      </c>
      <c r="R74" s="6">
        <v>-351270</v>
      </c>
      <c r="S74" s="6">
        <v>150146</v>
      </c>
      <c r="T74" s="6">
        <v>287471</v>
      </c>
      <c r="U74" s="6">
        <v>153452</v>
      </c>
      <c r="V74" s="6">
        <v>-29377</v>
      </c>
    </row>
    <row r="75" spans="2:22" x14ac:dyDescent="0.2">
      <c r="B75" s="2" t="s">
        <v>82</v>
      </c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>
        <f>N73+N66+N60</f>
        <v>-377663</v>
      </c>
      <c r="O75" s="6"/>
      <c r="P75" s="6"/>
      <c r="Q75" s="6"/>
      <c r="R75" s="6">
        <f>R73+R66+R60</f>
        <v>699522</v>
      </c>
      <c r="S75" s="6">
        <f>S73+S66+S60</f>
        <v>-753455</v>
      </c>
      <c r="T75" s="6">
        <f>T73+T66+T60</f>
        <v>689074</v>
      </c>
      <c r="U75" s="6">
        <f>U73+U66+U60</f>
        <v>1132016</v>
      </c>
      <c r="V75" s="6">
        <f>V73+V66+V60</f>
        <v>-222297</v>
      </c>
    </row>
    <row r="76" spans="2:22" x14ac:dyDescent="0.2"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</row>
    <row r="77" spans="2:22" x14ac:dyDescent="0.2">
      <c r="B77" s="2" t="s">
        <v>90</v>
      </c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</row>
    <row r="78" spans="2:22" x14ac:dyDescent="0.2">
      <c r="B78" s="2" t="s">
        <v>91</v>
      </c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>
        <f>T60+T62+T64</f>
        <v>3229782</v>
      </c>
      <c r="U78" s="6">
        <f>U60+U62+U64</f>
        <v>2836705</v>
      </c>
      <c r="V78" s="6">
        <f>V60+V62+V64</f>
        <v>1863857</v>
      </c>
    </row>
    <row r="79" spans="2:22" x14ac:dyDescent="0.2"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</row>
    <row r="80" spans="2:22" x14ac:dyDescent="0.2"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</row>
    <row r="81" spans="3:22" x14ac:dyDescent="0.2"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</row>
    <row r="82" spans="3:22" x14ac:dyDescent="0.2"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</row>
    <row r="83" spans="3:22" x14ac:dyDescent="0.2"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</row>
    <row r="84" spans="3:22" x14ac:dyDescent="0.2"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</row>
    <row r="85" spans="3:22" x14ac:dyDescent="0.2"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</row>
    <row r="86" spans="3:22" x14ac:dyDescent="0.2"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</row>
    <row r="87" spans="3:22" x14ac:dyDescent="0.2"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</row>
    <row r="88" spans="3:22" x14ac:dyDescent="0.2"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</row>
    <row r="89" spans="3:22" x14ac:dyDescent="0.2"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</row>
    <row r="90" spans="3:22" x14ac:dyDescent="0.2"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</row>
    <row r="91" spans="3:22" x14ac:dyDescent="0.2"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</row>
    <row r="92" spans="3:22" x14ac:dyDescent="0.2"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</row>
    <row r="93" spans="3:22" x14ac:dyDescent="0.2"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</row>
    <row r="94" spans="3:22" x14ac:dyDescent="0.2"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</row>
    <row r="95" spans="3:22" x14ac:dyDescent="0.2"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</row>
    <row r="96" spans="3:22" x14ac:dyDescent="0.2"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</row>
    <row r="97" spans="3:22" x14ac:dyDescent="0.2"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</row>
    <row r="98" spans="3:22" x14ac:dyDescent="0.2"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</row>
    <row r="99" spans="3:22" x14ac:dyDescent="0.2"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</row>
    <row r="100" spans="3:22" x14ac:dyDescent="0.2"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</row>
    <row r="101" spans="3:22" x14ac:dyDescent="0.2"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</row>
    <row r="102" spans="3:22" x14ac:dyDescent="0.2"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</row>
    <row r="103" spans="3:22" x14ac:dyDescent="0.2"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</row>
    <row r="104" spans="3:22" x14ac:dyDescent="0.2"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</row>
    <row r="105" spans="3:22" x14ac:dyDescent="0.2"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</row>
    <row r="106" spans="3:22" x14ac:dyDescent="0.2"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</row>
    <row r="107" spans="3:22" x14ac:dyDescent="0.2"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</row>
    <row r="108" spans="3:22" x14ac:dyDescent="0.2"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</row>
    <row r="109" spans="3:22" x14ac:dyDescent="0.2"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</row>
    <row r="110" spans="3:22" x14ac:dyDescent="0.2"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</row>
    <row r="111" spans="3:22" x14ac:dyDescent="0.2"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</row>
    <row r="112" spans="3:22" x14ac:dyDescent="0.2"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</row>
    <row r="113" spans="3:22" x14ac:dyDescent="0.2"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</row>
    <row r="114" spans="3:22" x14ac:dyDescent="0.2"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</row>
    <row r="115" spans="3:22" x14ac:dyDescent="0.2"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</row>
    <row r="116" spans="3:22" x14ac:dyDescent="0.2"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</row>
    <row r="117" spans="3:22" x14ac:dyDescent="0.2"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</row>
    <row r="118" spans="3:22" x14ac:dyDescent="0.2"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</row>
    <row r="119" spans="3:22" x14ac:dyDescent="0.2"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</row>
    <row r="120" spans="3:22" x14ac:dyDescent="0.2"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</row>
    <row r="121" spans="3:22" x14ac:dyDescent="0.2"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</row>
    <row r="122" spans="3:22" x14ac:dyDescent="0.2"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</row>
    <row r="123" spans="3:22" x14ac:dyDescent="0.2"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</row>
    <row r="124" spans="3:22" x14ac:dyDescent="0.2"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</row>
    <row r="125" spans="3:22" x14ac:dyDescent="0.2"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</row>
    <row r="126" spans="3:22" x14ac:dyDescent="0.2"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COCA V S SILVIU-MARIAN</dc:creator>
  <cp:lastModifiedBy>COCA V S SILVIU-MARIAN</cp:lastModifiedBy>
  <dcterms:created xsi:type="dcterms:W3CDTF">2026-02-16T17:14:08Z</dcterms:created>
  <dcterms:modified xsi:type="dcterms:W3CDTF">2026-02-28T14:41:27Z</dcterms:modified>
</cp:coreProperties>
</file>