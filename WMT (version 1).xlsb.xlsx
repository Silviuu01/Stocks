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a\Downloads\"/>
    </mc:Choice>
  </mc:AlternateContent>
  <xr:revisionPtr revIDLastSave="0" documentId="13_ncr:1_{B1C56C52-1E0D-4A51-A038-23D5C512F83F}" xr6:coauthVersionLast="47" xr6:coauthVersionMax="47" xr10:uidLastSave="{00000000-0000-0000-0000-000000000000}"/>
  <bookViews>
    <workbookView xWindow="-120" yWindow="-120" windowWidth="29040" windowHeight="15840" tabRatio="601" activeTab="1" xr2:uid="{D34B6A0E-BD75-4196-AE8C-3E013A62F06D}"/>
  </bookViews>
  <sheets>
    <sheet name="Main" sheetId="1" r:id="rId1"/>
    <sheet name="Mode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" i="3" l="1"/>
  <c r="AU20" i="3"/>
  <c r="AT20" i="3"/>
  <c r="AS20" i="3"/>
  <c r="AR20" i="3"/>
  <c r="AQ20" i="3"/>
  <c r="AP20" i="3"/>
  <c r="AO20" i="3"/>
  <c r="AN20" i="3"/>
  <c r="AM20" i="3"/>
  <c r="AK20" i="3"/>
  <c r="AJ20" i="3"/>
  <c r="AI20" i="3"/>
  <c r="AH20" i="3"/>
  <c r="AG20" i="3"/>
  <c r="AF20" i="3"/>
  <c r="AE20" i="3"/>
  <c r="AD20" i="3"/>
  <c r="AC20" i="3"/>
  <c r="AB20" i="3"/>
  <c r="AL20" i="3"/>
  <c r="AQ6" i="3"/>
  <c r="AR4" i="3"/>
  <c r="AS4" i="3" s="1"/>
  <c r="AT4" i="3" s="1"/>
  <c r="AU4" i="3" s="1"/>
  <c r="AV4" i="3" s="1"/>
  <c r="AQ4" i="3"/>
  <c r="AR3" i="3"/>
  <c r="AS3" i="3" s="1"/>
  <c r="AT3" i="3" s="1"/>
  <c r="AU3" i="3" s="1"/>
  <c r="AV3" i="3" s="1"/>
  <c r="AQ3" i="3"/>
  <c r="AL14" i="3"/>
  <c r="AL13" i="3"/>
  <c r="AL11" i="3"/>
  <c r="AL10" i="3"/>
  <c r="AL8" i="3"/>
  <c r="AL6" i="3"/>
  <c r="AL5" i="3"/>
  <c r="AL3" i="3"/>
  <c r="AK15" i="3"/>
  <c r="K8" i="1"/>
  <c r="AM10" i="3"/>
  <c r="R42" i="3"/>
  <c r="R30" i="3"/>
  <c r="R46" i="3"/>
  <c r="R49" i="3" s="1"/>
  <c r="R34" i="3"/>
  <c r="R24" i="3"/>
  <c r="Q24" i="3"/>
  <c r="Q42" i="3"/>
  <c r="Q46" i="3" s="1"/>
  <c r="Q49" i="3" s="1"/>
  <c r="Q30" i="3"/>
  <c r="Q34" i="3" s="1"/>
  <c r="AM3" i="3"/>
  <c r="AM14" i="3"/>
  <c r="AN14" i="3" s="1"/>
  <c r="AO14" i="3" s="1"/>
  <c r="AP14" i="3" s="1"/>
  <c r="AQ14" i="3" s="1"/>
  <c r="AR14" i="3" s="1"/>
  <c r="AS14" i="3" s="1"/>
  <c r="AT14" i="3" s="1"/>
  <c r="AU14" i="3" s="1"/>
  <c r="AV14" i="3" s="1"/>
  <c r="R10" i="3"/>
  <c r="R5" i="3"/>
  <c r="F10" i="3"/>
  <c r="F5" i="3"/>
  <c r="E10" i="3"/>
  <c r="E5" i="3"/>
  <c r="E7" i="3" s="1"/>
  <c r="E21" i="3" s="1"/>
  <c r="D10" i="3"/>
  <c r="D5" i="3"/>
  <c r="D7" i="3" s="1"/>
  <c r="D21" i="3" s="1"/>
  <c r="C10" i="3"/>
  <c r="C5" i="3"/>
  <c r="C7" i="3" s="1"/>
  <c r="C21" i="3" s="1"/>
  <c r="W2" i="3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J2" i="3" s="1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B10" i="3"/>
  <c r="AC10" i="3"/>
  <c r="AD10" i="3"/>
  <c r="AE10" i="3"/>
  <c r="AF10" i="3"/>
  <c r="AG10" i="3"/>
  <c r="AG5" i="3"/>
  <c r="AF5" i="3"/>
  <c r="AE5" i="3"/>
  <c r="AE9" i="3" s="1"/>
  <c r="AD5" i="3"/>
  <c r="AD7" i="3" s="1"/>
  <c r="AC5" i="3"/>
  <c r="AC9" i="3" s="1"/>
  <c r="AC12" i="3" s="1"/>
  <c r="AC15" i="3" s="1"/>
  <c r="AB5" i="3"/>
  <c r="AB9" i="3" s="1"/>
  <c r="AH11" i="3"/>
  <c r="AH10" i="3"/>
  <c r="AH5" i="3"/>
  <c r="AI10" i="3"/>
  <c r="AJ14" i="3"/>
  <c r="AJ13" i="3"/>
  <c r="AJ11" i="3"/>
  <c r="AJ8" i="3"/>
  <c r="AJ6" i="3"/>
  <c r="AJ4" i="3"/>
  <c r="AJ3" i="3"/>
  <c r="AJ5" i="3" s="1"/>
  <c r="AI5" i="3"/>
  <c r="AK14" i="3"/>
  <c r="I10" i="3"/>
  <c r="I5" i="3"/>
  <c r="H10" i="3"/>
  <c r="H5" i="3"/>
  <c r="G10" i="3"/>
  <c r="G5" i="3"/>
  <c r="J10" i="3"/>
  <c r="J5" i="3"/>
  <c r="K13" i="3"/>
  <c r="L13" i="3"/>
  <c r="M13" i="3"/>
  <c r="O13" i="3"/>
  <c r="P13" i="3"/>
  <c r="Q13" i="3"/>
  <c r="N11" i="3"/>
  <c r="N8" i="3"/>
  <c r="N6" i="3"/>
  <c r="N4" i="3"/>
  <c r="N3" i="3"/>
  <c r="AK3" i="3" s="1"/>
  <c r="K10" i="3"/>
  <c r="O10" i="3"/>
  <c r="K5" i="3"/>
  <c r="K9" i="3" s="1"/>
  <c r="O5" i="3"/>
  <c r="O9" i="3" s="1"/>
  <c r="L10" i="3"/>
  <c r="P10" i="3"/>
  <c r="L5" i="3"/>
  <c r="L9" i="3" s="1"/>
  <c r="P5" i="3"/>
  <c r="P9" i="3" s="1"/>
  <c r="M10" i="3"/>
  <c r="M5" i="3"/>
  <c r="M9" i="3" s="1"/>
  <c r="Q10" i="3"/>
  <c r="Q5" i="3"/>
  <c r="Q9" i="3" s="1"/>
  <c r="AN3" i="3" l="1"/>
  <c r="AG9" i="3"/>
  <c r="AG12" i="3" s="1"/>
  <c r="AG15" i="3" s="1"/>
  <c r="AF9" i="3"/>
  <c r="AF12" i="3" s="1"/>
  <c r="AF15" i="3" s="1"/>
  <c r="AH7" i="3"/>
  <c r="AI7" i="3"/>
  <c r="I9" i="3"/>
  <c r="I12" i="3" s="1"/>
  <c r="I15" i="3" s="1"/>
  <c r="I20" i="3"/>
  <c r="H9" i="3"/>
  <c r="H12" i="3" s="1"/>
  <c r="H15" i="3" s="1"/>
  <c r="H20" i="3"/>
  <c r="G9" i="3"/>
  <c r="G12" i="3" s="1"/>
  <c r="G15" i="3" s="1"/>
  <c r="G20" i="3"/>
  <c r="J9" i="3"/>
  <c r="J12" i="3" s="1"/>
  <c r="J15" i="3" s="1"/>
  <c r="J20" i="3"/>
  <c r="AK11" i="3"/>
  <c r="AM11" i="3"/>
  <c r="AN11" i="3" s="1"/>
  <c r="AO11" i="3" s="1"/>
  <c r="AP11" i="3" s="1"/>
  <c r="AQ11" i="3" s="1"/>
  <c r="AR11" i="3" s="1"/>
  <c r="AS11" i="3" s="1"/>
  <c r="AT11" i="3" s="1"/>
  <c r="AU11" i="3" s="1"/>
  <c r="AV11" i="3" s="1"/>
  <c r="AK8" i="3"/>
  <c r="AM8" i="3"/>
  <c r="AN8" i="3" s="1"/>
  <c r="AO8" i="3" s="1"/>
  <c r="AP8" i="3" s="1"/>
  <c r="AQ8" i="3" s="1"/>
  <c r="AR8" i="3" s="1"/>
  <c r="AS8" i="3" s="1"/>
  <c r="AT8" i="3" s="1"/>
  <c r="AU8" i="3" s="1"/>
  <c r="AV8" i="3" s="1"/>
  <c r="AK6" i="3"/>
  <c r="AM6" i="3"/>
  <c r="AN6" i="3" s="1"/>
  <c r="AO6" i="3" s="1"/>
  <c r="AP6" i="3" s="1"/>
  <c r="AR6" i="3" s="1"/>
  <c r="AS6" i="3" s="1"/>
  <c r="AT6" i="3" s="1"/>
  <c r="AU6" i="3" s="1"/>
  <c r="AV6" i="3" s="1"/>
  <c r="AK4" i="3"/>
  <c r="AK5" i="3" s="1"/>
  <c r="AL4" i="3"/>
  <c r="R7" i="3"/>
  <c r="R21" i="3" s="1"/>
  <c r="R9" i="3"/>
  <c r="R12" i="3" s="1"/>
  <c r="R15" i="3" s="1"/>
  <c r="F9" i="3"/>
  <c r="F12" i="3" s="1"/>
  <c r="F15" i="3" s="1"/>
  <c r="F7" i="3"/>
  <c r="F21" i="3" s="1"/>
  <c r="E9" i="3"/>
  <c r="E12" i="3" s="1"/>
  <c r="E15" i="3" s="1"/>
  <c r="D9" i="3"/>
  <c r="D12" i="3" s="1"/>
  <c r="D15" i="3" s="1"/>
  <c r="C9" i="3"/>
  <c r="C12" i="3" s="1"/>
  <c r="C15" i="3" s="1"/>
  <c r="K7" i="3"/>
  <c r="K21" i="3" s="1"/>
  <c r="AB12" i="3"/>
  <c r="AB15" i="3" s="1"/>
  <c r="G7" i="3"/>
  <c r="G21" i="3" s="1"/>
  <c r="AJ10" i="3"/>
  <c r="L12" i="3"/>
  <c r="L15" i="3" s="1"/>
  <c r="K20" i="3"/>
  <c r="P7" i="3"/>
  <c r="P21" i="3" s="1"/>
  <c r="P20" i="3"/>
  <c r="M20" i="3"/>
  <c r="AE12" i="3"/>
  <c r="AE15" i="3" s="1"/>
  <c r="O7" i="3"/>
  <c r="O21" i="3" s="1"/>
  <c r="O20" i="3"/>
  <c r="H7" i="3"/>
  <c r="H21" i="3" s="1"/>
  <c r="L7" i="3"/>
  <c r="L21" i="3" s="1"/>
  <c r="L20" i="3"/>
  <c r="AG7" i="3"/>
  <c r="I7" i="3"/>
  <c r="I21" i="3" s="1"/>
  <c r="M7" i="3"/>
  <c r="M21" i="3" s="1"/>
  <c r="Q7" i="3"/>
  <c r="Q21" i="3" s="1"/>
  <c r="J7" i="3"/>
  <c r="J21" i="3" s="1"/>
  <c r="Q20" i="3"/>
  <c r="AD9" i="3"/>
  <c r="AD12" i="3" s="1"/>
  <c r="AD15" i="3" s="1"/>
  <c r="AE7" i="3"/>
  <c r="AB7" i="3"/>
  <c r="AF7" i="3"/>
  <c r="AC7" i="3"/>
  <c r="AH9" i="3"/>
  <c r="AH12" i="3" s="1"/>
  <c r="AH15" i="3" s="1"/>
  <c r="AI9" i="3"/>
  <c r="AI12" i="3" s="1"/>
  <c r="AI15" i="3" s="1"/>
  <c r="AJ7" i="3"/>
  <c r="AJ9" i="3"/>
  <c r="N13" i="3"/>
  <c r="N10" i="3"/>
  <c r="N5" i="3"/>
  <c r="R20" i="3" s="1"/>
  <c r="O12" i="3"/>
  <c r="O15" i="3" s="1"/>
  <c r="K12" i="3"/>
  <c r="K15" i="3" s="1"/>
  <c r="P12" i="3"/>
  <c r="P15" i="3" s="1"/>
  <c r="M12" i="3"/>
  <c r="M15" i="3" s="1"/>
  <c r="Q12" i="3"/>
  <c r="Q15" i="3" s="1"/>
  <c r="AM4" i="3" l="1"/>
  <c r="AL9" i="3"/>
  <c r="AL12" i="3" s="1"/>
  <c r="AL15" i="3" s="1"/>
  <c r="AO3" i="3"/>
  <c r="AK9" i="3"/>
  <c r="AK13" i="3"/>
  <c r="AM13" i="3"/>
  <c r="AN13" i="3" s="1"/>
  <c r="AO13" i="3" s="1"/>
  <c r="AP13" i="3" s="1"/>
  <c r="AQ13" i="3" s="1"/>
  <c r="AR13" i="3" s="1"/>
  <c r="AS13" i="3" s="1"/>
  <c r="AT13" i="3" s="1"/>
  <c r="AU13" i="3" s="1"/>
  <c r="AV13" i="3" s="1"/>
  <c r="AK10" i="3"/>
  <c r="AK7" i="3"/>
  <c r="AJ12" i="3"/>
  <c r="AJ15" i="3" s="1"/>
  <c r="N9" i="3"/>
  <c r="N12" i="3" s="1"/>
  <c r="N15" i="3" s="1"/>
  <c r="N20" i="3"/>
  <c r="N7" i="3"/>
  <c r="N21" i="3" s="1"/>
  <c r="AK12" i="3" l="1"/>
  <c r="AM5" i="3"/>
  <c r="AN4" i="3"/>
  <c r="AL7" i="3"/>
  <c r="AP3" i="3"/>
  <c r="K4" i="1"/>
  <c r="K7" i="1" s="1"/>
  <c r="AM7" i="3" l="1"/>
  <c r="AM9" i="3"/>
  <c r="AM12" i="3" s="1"/>
  <c r="AM15" i="3" s="1"/>
  <c r="AM24" i="3" s="1"/>
  <c r="AN10" i="3" s="1"/>
  <c r="AN5" i="3"/>
  <c r="AO4" i="3"/>
  <c r="AN7" i="3" l="1"/>
  <c r="AN9" i="3"/>
  <c r="AN12" i="3" s="1"/>
  <c r="AN15" i="3" s="1"/>
  <c r="AN24" i="3" s="1"/>
  <c r="AO10" i="3" s="1"/>
  <c r="AO5" i="3"/>
  <c r="AP4" i="3"/>
  <c r="AO9" i="3" l="1"/>
  <c r="AO12" i="3" s="1"/>
  <c r="AO15" i="3" s="1"/>
  <c r="AO24" i="3" s="1"/>
  <c r="AP10" i="3" s="1"/>
  <c r="AO7" i="3"/>
  <c r="AP5" i="3"/>
  <c r="AP7" i="3" l="1"/>
  <c r="AP9" i="3"/>
  <c r="AP12" i="3" s="1"/>
  <c r="AP15" i="3" s="1"/>
  <c r="AP24" i="3" s="1"/>
  <c r="AQ10" i="3" s="1"/>
  <c r="AQ5" i="3"/>
  <c r="AQ7" i="3" l="1"/>
  <c r="AQ9" i="3"/>
  <c r="AQ12" i="3" s="1"/>
  <c r="AQ15" i="3" s="1"/>
  <c r="AR5" i="3"/>
  <c r="AQ24" i="3" l="1"/>
  <c r="AR10" i="3" s="1"/>
  <c r="AR9" i="3"/>
  <c r="AR7" i="3"/>
  <c r="AS5" i="3"/>
  <c r="AR12" i="3" l="1"/>
  <c r="AR15" i="3" s="1"/>
  <c r="AR24" i="3" s="1"/>
  <c r="AS10" i="3" s="1"/>
  <c r="AS9" i="3"/>
  <c r="AS7" i="3"/>
  <c r="AT5" i="3"/>
  <c r="AS12" i="3" l="1"/>
  <c r="AS15" i="3" s="1"/>
  <c r="AS24" i="3" s="1"/>
  <c r="AT10" i="3" s="1"/>
  <c r="AT7" i="3"/>
  <c r="AT9" i="3"/>
  <c r="AU5" i="3"/>
  <c r="AV5" i="3"/>
  <c r="AT12" i="3" l="1"/>
  <c r="AT15" i="3" s="1"/>
  <c r="AT24" i="3" s="1"/>
  <c r="AU10" i="3" s="1"/>
  <c r="AU9" i="3"/>
  <c r="AU7" i="3"/>
  <c r="AV9" i="3"/>
  <c r="AV7" i="3"/>
  <c r="AU12" i="3" l="1"/>
  <c r="AU15" i="3" s="1"/>
  <c r="AU24" i="3" s="1"/>
  <c r="AV10" i="3" s="1"/>
  <c r="AV12" i="3" s="1"/>
  <c r="AV15" i="3" s="1"/>
  <c r="AW15" i="3" l="1"/>
  <c r="AX15" i="3" s="1"/>
  <c r="AY15" i="3" s="1"/>
  <c r="AZ15" i="3" s="1"/>
  <c r="BA15" i="3" s="1"/>
  <c r="BB15" i="3" s="1"/>
  <c r="BC15" i="3" s="1"/>
  <c r="BD15" i="3" s="1"/>
  <c r="BE15" i="3" s="1"/>
  <c r="BF15" i="3" s="1"/>
  <c r="BG15" i="3" s="1"/>
  <c r="BH15" i="3" s="1"/>
  <c r="BI15" i="3" s="1"/>
  <c r="BJ15" i="3" s="1"/>
  <c r="BK15" i="3" s="1"/>
  <c r="BL15" i="3" s="1"/>
  <c r="BM15" i="3" s="1"/>
  <c r="BN15" i="3" s="1"/>
  <c r="BO15" i="3" s="1"/>
  <c r="BP15" i="3" s="1"/>
  <c r="BQ15" i="3" s="1"/>
  <c r="BR15" i="3" s="1"/>
  <c r="BS15" i="3" s="1"/>
  <c r="BT15" i="3" s="1"/>
  <c r="BU15" i="3" s="1"/>
  <c r="AV24" i="3"/>
  <c r="BV15" i="3" l="1"/>
  <c r="BW15" i="3" l="1"/>
  <c r="BX15" i="3" s="1"/>
  <c r="BY15" i="3" s="1"/>
  <c r="BZ15" i="3" s="1"/>
  <c r="CA15" i="3" s="1"/>
  <c r="CB15" i="3" s="1"/>
  <c r="CC15" i="3" s="1"/>
  <c r="CD15" i="3" s="1"/>
  <c r="CE15" i="3" s="1"/>
  <c r="CF15" i="3" s="1"/>
  <c r="CG15" i="3" s="1"/>
  <c r="CH15" i="3" s="1"/>
  <c r="CI15" i="3" s="1"/>
  <c r="CJ15" i="3" s="1"/>
  <c r="CK15" i="3" s="1"/>
  <c r="CL15" i="3" s="1"/>
  <c r="CM15" i="3" s="1"/>
  <c r="CN15" i="3" s="1"/>
  <c r="CO15" i="3" s="1"/>
  <c r="CP15" i="3" s="1"/>
  <c r="CQ15" i="3" s="1"/>
  <c r="CR15" i="3" s="1"/>
  <c r="CS15" i="3" s="1"/>
  <c r="CT15" i="3" s="1"/>
  <c r="CU15" i="3" s="1"/>
  <c r="CV15" i="3" s="1"/>
  <c r="CW15" i="3" s="1"/>
  <c r="CX15" i="3" s="1"/>
  <c r="CY15" i="3" s="1"/>
  <c r="CZ15" i="3" s="1"/>
  <c r="DA15" i="3" s="1"/>
  <c r="DB15" i="3" s="1"/>
  <c r="DC15" i="3" s="1"/>
  <c r="DD15" i="3" s="1"/>
  <c r="DE15" i="3" s="1"/>
  <c r="DF15" i="3" s="1"/>
  <c r="DG15" i="3" s="1"/>
  <c r="DH15" i="3" s="1"/>
  <c r="DI15" i="3" s="1"/>
  <c r="DJ15" i="3" s="1"/>
  <c r="DK15" i="3" s="1"/>
  <c r="DL15" i="3" s="1"/>
  <c r="DM15" i="3" s="1"/>
  <c r="DN15" i="3" s="1"/>
  <c r="DO15" i="3" s="1"/>
  <c r="DP15" i="3" s="1"/>
  <c r="DQ15" i="3" s="1"/>
  <c r="DR15" i="3" s="1"/>
  <c r="DS15" i="3" s="1"/>
  <c r="DT15" i="3" s="1"/>
  <c r="DU15" i="3" s="1"/>
  <c r="DV15" i="3" s="1"/>
  <c r="DW15" i="3" s="1"/>
  <c r="DX15" i="3" s="1"/>
  <c r="DY15" i="3" s="1"/>
  <c r="DZ15" i="3" s="1"/>
  <c r="EA15" i="3" s="1"/>
  <c r="EB15" i="3" s="1"/>
  <c r="EC15" i="3" s="1"/>
  <c r="ED15" i="3" s="1"/>
  <c r="EE15" i="3" s="1"/>
  <c r="EF15" i="3" s="1"/>
  <c r="EG15" i="3" s="1"/>
  <c r="EH15" i="3" s="1"/>
  <c r="EI15" i="3" s="1"/>
  <c r="EJ15" i="3" s="1"/>
  <c r="EK15" i="3" s="1"/>
  <c r="EL15" i="3" s="1"/>
  <c r="EM15" i="3" s="1"/>
  <c r="EN15" i="3" s="1"/>
  <c r="EO15" i="3" s="1"/>
  <c r="EP15" i="3" s="1"/>
  <c r="EQ15" i="3" s="1"/>
  <c r="ER15" i="3" s="1"/>
  <c r="ES15" i="3" s="1"/>
  <c r="ET15" i="3" s="1"/>
  <c r="EU15" i="3" s="1"/>
  <c r="EV15" i="3" s="1"/>
  <c r="EW15" i="3" s="1"/>
  <c r="EX15" i="3" s="1"/>
  <c r="AQ31" i="3"/>
  <c r="AQ32" i="3" s="1"/>
  <c r="AQ33" i="3" s="1"/>
</calcChain>
</file>

<file path=xl/sharedStrings.xml><?xml version="1.0" encoding="utf-8"?>
<sst xmlns="http://schemas.openxmlformats.org/spreadsheetml/2006/main" count="73" uniqueCount="67">
  <si>
    <t>Price</t>
  </si>
  <si>
    <t>Shares</t>
  </si>
  <si>
    <t>MC</t>
  </si>
  <si>
    <t>Cash</t>
  </si>
  <si>
    <t>Debt</t>
  </si>
  <si>
    <t>EV</t>
  </si>
  <si>
    <t>Main</t>
  </si>
  <si>
    <t>Revenue</t>
  </si>
  <si>
    <t>Q123</t>
  </si>
  <si>
    <t>Q223</t>
  </si>
  <si>
    <t>Q323</t>
  </si>
  <si>
    <t>Q423</t>
  </si>
  <si>
    <t>Q124</t>
  </si>
  <si>
    <t>Q224</t>
  </si>
  <si>
    <t>Q324</t>
  </si>
  <si>
    <t>Q424</t>
  </si>
  <si>
    <t>Gross Profit</t>
  </si>
  <si>
    <t>Operating Income</t>
  </si>
  <si>
    <t>Net Income</t>
  </si>
  <si>
    <t>EPS</t>
  </si>
  <si>
    <t>Assets</t>
  </si>
  <si>
    <t>Goodwill</t>
  </si>
  <si>
    <t>Lease</t>
  </si>
  <si>
    <t>Receivables</t>
  </si>
  <si>
    <t>Net Cash</t>
  </si>
  <si>
    <t>Gross Margin</t>
  </si>
  <si>
    <t>Other</t>
  </si>
  <si>
    <t>Q125</t>
  </si>
  <si>
    <t>Q225</t>
  </si>
  <si>
    <t>Q325</t>
  </si>
  <si>
    <t>Q425</t>
  </si>
  <si>
    <t>Q126</t>
  </si>
  <si>
    <t>Q226</t>
  </si>
  <si>
    <t>Q326</t>
  </si>
  <si>
    <t>Q426</t>
  </si>
  <si>
    <t>Net Sales</t>
  </si>
  <si>
    <t>Membership other</t>
  </si>
  <si>
    <t>Cost Of Sales</t>
  </si>
  <si>
    <t>Operating S&amp;G&amp;A</t>
  </si>
  <si>
    <t>Interest</t>
  </si>
  <si>
    <t>Others</t>
  </si>
  <si>
    <t>Pretax</t>
  </si>
  <si>
    <t>Tax</t>
  </si>
  <si>
    <t>Nonctrolling interest</t>
  </si>
  <si>
    <t>Revenue growth y/y</t>
  </si>
  <si>
    <t>Invetories</t>
  </si>
  <si>
    <t>P&amp;P&amp;E</t>
  </si>
  <si>
    <t>Prepaid expeses&amp;other</t>
  </si>
  <si>
    <t>Short term borrowings</t>
  </si>
  <si>
    <t>Accounts payable</t>
  </si>
  <si>
    <t>Dividens payable</t>
  </si>
  <si>
    <t>Accrued liabilities</t>
  </si>
  <si>
    <t>Acrrued incomes taxes</t>
  </si>
  <si>
    <t>Long term debt</t>
  </si>
  <si>
    <t>Deferred income</t>
  </si>
  <si>
    <t>SE</t>
  </si>
  <si>
    <t>L+SE</t>
  </si>
  <si>
    <t>Discount</t>
  </si>
  <si>
    <t>ROIC</t>
  </si>
  <si>
    <t>Terminal</t>
  </si>
  <si>
    <t>NPV</t>
  </si>
  <si>
    <t>Share</t>
  </si>
  <si>
    <t>OLA</t>
  </si>
  <si>
    <t>Liabilities</t>
  </si>
  <si>
    <t>Short term debt</t>
  </si>
  <si>
    <t>Upside</t>
  </si>
  <si>
    <t xml:space="preserve"> P/E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</si>
</sst>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3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3" fontId="2" fillId="0" borderId="0" xfId="0" applyNumberFormat="1" applyFont="1"/>
    <xf numFmtId="9" fontId="0" fillId="0" borderId="0" xfId="1" applyFont="1"/>
    <xf numFmtId="9" fontId="1" fillId="0" borderId="0" xfId="0" applyNumberFormat="1" applyFont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8EB9C06C-BAEF-492A-9F3D-C094C13BBD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19447</xdr:rowOff>
    </xdr:from>
    <xdr:to>
      <xdr:col>18</xdr:col>
      <xdr:colOff>9525</xdr:colOff>
      <xdr:row>80</xdr:row>
      <xdr:rowOff>128985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D63D3A3-CBE2-745D-CF23-7B949BB2FE5F}"/>
            </a:ext>
          </a:extLst>
        </xdr:cNvPr>
        <xdr:cNvCxnSpPr/>
      </xdr:nvCxnSpPr>
      <xdr:spPr>
        <a:xfrm flipH="1">
          <a:off x="11658203" y="19447"/>
          <a:ext cx="9525" cy="1280953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9525</xdr:colOff>
      <xdr:row>0</xdr:row>
      <xdr:rowOff>38100</xdr:rowOff>
    </xdr:from>
    <xdr:to>
      <xdr:col>38</xdr:col>
      <xdr:colOff>9525</xdr:colOff>
      <xdr:row>47</xdr:row>
      <xdr:rowOff>104775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7DD702A-A46F-BDD1-1891-6A9CDB1ACD8E}"/>
            </a:ext>
          </a:extLst>
        </xdr:cNvPr>
        <xdr:cNvCxnSpPr/>
      </xdr:nvCxnSpPr>
      <xdr:spPr>
        <a:xfrm>
          <a:off x="21307425" y="38100"/>
          <a:ext cx="0" cy="80010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6B72F-94E0-4E69-B93D-80B7A904758A}">
  <dimension ref="J2:L8"/>
  <sheetViews>
    <sheetView zoomScaleNormal="100" workbookViewId="0">
      <selection activeCell="K8" sqref="K8"/>
    </sheetView>
  </sheetViews>
  <sheetFormatPr defaultRowHeight="12.75" x14ac:dyDescent="0.2"/>
  <sheetData>
    <row r="2" spans="10:12" x14ac:dyDescent="0.2">
      <c r="J2" t="s">
        <v>0</v>
      </c>
      <c r="K2" s="1">
        <v>123</v>
      </c>
    </row>
    <row r="3" spans="10:12" x14ac:dyDescent="0.2">
      <c r="J3" t="s">
        <v>1</v>
      </c>
      <c r="K3" s="3">
        <v>8016</v>
      </c>
      <c r="L3" s="2" t="s">
        <v>29</v>
      </c>
    </row>
    <row r="4" spans="10:12" x14ac:dyDescent="0.2">
      <c r="J4" t="s">
        <v>2</v>
      </c>
      <c r="K4" s="3">
        <f>+K2*K3</f>
        <v>985968</v>
      </c>
    </row>
    <row r="5" spans="10:12" x14ac:dyDescent="0.2">
      <c r="J5" t="s">
        <v>3</v>
      </c>
      <c r="K5" s="3">
        <v>9431</v>
      </c>
      <c r="L5" s="2" t="s">
        <v>29</v>
      </c>
    </row>
    <row r="6" spans="10:12" x14ac:dyDescent="0.2">
      <c r="J6" t="s">
        <v>4</v>
      </c>
      <c r="K6" s="3">
        <v>43488</v>
      </c>
      <c r="L6" s="2" t="s">
        <v>29</v>
      </c>
    </row>
    <row r="7" spans="10:12" x14ac:dyDescent="0.2">
      <c r="J7" t="s">
        <v>5</v>
      </c>
      <c r="K7" s="3">
        <f>+K4-K5+K6</f>
        <v>1020025</v>
      </c>
    </row>
    <row r="8" spans="10:12" x14ac:dyDescent="0.2">
      <c r="J8" t="s">
        <v>66</v>
      </c>
      <c r="K8">
        <f>K4/Model!AK15</f>
        <v>50.728956575427041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BF5C-3FF9-4BEB-812C-6A6066301FE4}">
  <dimension ref="A1:EX70"/>
  <sheetViews>
    <sheetView tabSelected="1" zoomScale="96" zoomScaleNormal="96" workbookViewId="0">
      <pane xSplit="2" ySplit="2" topLeftCell="Y3" activePane="bottomRight" state="frozen"/>
      <selection pane="topRight" activeCell="C1" sqref="C1"/>
      <selection pane="bottomLeft" activeCell="A4" sqref="A4"/>
      <selection pane="bottomRight" activeCell="AQ27" sqref="AQ27"/>
    </sheetView>
  </sheetViews>
  <sheetFormatPr defaultRowHeight="12.75" x14ac:dyDescent="0.2"/>
  <cols>
    <col min="1" max="1" width="9.140625" style="3"/>
    <col min="2" max="2" width="20.5703125" style="3" bestFit="1" customWidth="1"/>
    <col min="3" max="6" width="9.140625" style="3" customWidth="1"/>
    <col min="7" max="42" width="9.140625" style="3"/>
    <col min="43" max="43" width="9.5703125" style="3" bestFit="1" customWidth="1"/>
    <col min="44" max="44" width="9.140625" style="3"/>
    <col min="45" max="48" width="9.5703125" style="3" bestFit="1" customWidth="1"/>
    <col min="49" max="16383" width="9.140625" style="3"/>
    <col min="16384" max="16384" width="9.5703125" style="3" customWidth="1"/>
  </cols>
  <sheetData>
    <row r="1" spans="1:154" x14ac:dyDescent="0.2">
      <c r="A1" s="3" t="s">
        <v>6</v>
      </c>
    </row>
    <row r="2" spans="1:154" x14ac:dyDescent="0.2">
      <c r="A2" s="6"/>
      <c r="B2" s="6"/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6" t="s">
        <v>14</v>
      </c>
      <c r="J2" s="6" t="s">
        <v>15</v>
      </c>
      <c r="K2" s="6" t="s">
        <v>27</v>
      </c>
      <c r="L2" s="6" t="s">
        <v>28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6" t="s">
        <v>34</v>
      </c>
      <c r="S2" s="6"/>
      <c r="T2" s="6"/>
      <c r="U2" s="6"/>
      <c r="V2" s="7">
        <v>2010</v>
      </c>
      <c r="W2" s="7">
        <f>V2+1</f>
        <v>2011</v>
      </c>
      <c r="X2" s="7">
        <f t="shared" ref="X2:AV2" si="0">W2+1</f>
        <v>2012</v>
      </c>
      <c r="Y2" s="7">
        <f t="shared" si="0"/>
        <v>2013</v>
      </c>
      <c r="Z2" s="7">
        <f t="shared" si="0"/>
        <v>2014</v>
      </c>
      <c r="AA2" s="7">
        <f t="shared" si="0"/>
        <v>2015</v>
      </c>
      <c r="AB2" s="7">
        <f t="shared" si="0"/>
        <v>2016</v>
      </c>
      <c r="AC2" s="7">
        <f t="shared" si="0"/>
        <v>2017</v>
      </c>
      <c r="AD2" s="7">
        <f t="shared" si="0"/>
        <v>2018</v>
      </c>
      <c r="AE2" s="7">
        <f t="shared" si="0"/>
        <v>2019</v>
      </c>
      <c r="AF2" s="7">
        <f t="shared" si="0"/>
        <v>2020</v>
      </c>
      <c r="AG2" s="7">
        <f t="shared" si="0"/>
        <v>2021</v>
      </c>
      <c r="AH2" s="7">
        <f t="shared" si="0"/>
        <v>2022</v>
      </c>
      <c r="AI2" s="7">
        <f t="shared" si="0"/>
        <v>2023</v>
      </c>
      <c r="AJ2" s="7">
        <f t="shared" si="0"/>
        <v>2024</v>
      </c>
      <c r="AK2" s="7">
        <f t="shared" si="0"/>
        <v>2025</v>
      </c>
      <c r="AL2" s="7">
        <f t="shared" si="0"/>
        <v>2026</v>
      </c>
      <c r="AM2" s="7">
        <f t="shared" si="0"/>
        <v>2027</v>
      </c>
      <c r="AN2" s="7">
        <f t="shared" si="0"/>
        <v>2028</v>
      </c>
      <c r="AO2" s="7">
        <f t="shared" si="0"/>
        <v>2029</v>
      </c>
      <c r="AP2" s="7">
        <f t="shared" si="0"/>
        <v>2030</v>
      </c>
      <c r="AQ2" s="7">
        <f t="shared" si="0"/>
        <v>2031</v>
      </c>
      <c r="AR2" s="7">
        <f t="shared" si="0"/>
        <v>2032</v>
      </c>
      <c r="AS2" s="7">
        <f t="shared" si="0"/>
        <v>2033</v>
      </c>
      <c r="AT2" s="7">
        <f t="shared" si="0"/>
        <v>2034</v>
      </c>
      <c r="AU2" s="7">
        <f t="shared" si="0"/>
        <v>2035</v>
      </c>
      <c r="AV2" s="7">
        <f t="shared" si="0"/>
        <v>2036</v>
      </c>
      <c r="AW2" s="7"/>
      <c r="AX2" s="7"/>
      <c r="AY2" s="7"/>
      <c r="AZ2" s="7"/>
      <c r="BA2" s="7"/>
      <c r="BB2" s="7"/>
      <c r="BC2" s="7"/>
      <c r="BD2" s="7"/>
      <c r="BE2" s="7"/>
      <c r="BF2" s="7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</row>
    <row r="3" spans="1:154" x14ac:dyDescent="0.2">
      <c r="B3" s="3" t="s">
        <v>35</v>
      </c>
      <c r="C3" s="3">
        <v>140288</v>
      </c>
      <c r="D3" s="3">
        <v>151381</v>
      </c>
      <c r="E3" s="3">
        <v>151469</v>
      </c>
      <c r="F3" s="3">
        <v>162743</v>
      </c>
      <c r="G3" s="3">
        <v>151004</v>
      </c>
      <c r="H3" s="3">
        <v>160280</v>
      </c>
      <c r="I3" s="3">
        <v>159439</v>
      </c>
      <c r="J3" s="3">
        <v>171914</v>
      </c>
      <c r="K3" s="3">
        <v>159938</v>
      </c>
      <c r="L3" s="3">
        <v>167767</v>
      </c>
      <c r="M3" s="3">
        <v>168003</v>
      </c>
      <c r="N3" s="3">
        <f>674538-SUM(K3:M3)</f>
        <v>178830</v>
      </c>
      <c r="O3" s="3">
        <v>163981</v>
      </c>
      <c r="P3" s="3">
        <v>175750</v>
      </c>
      <c r="Q3" s="3">
        <v>177769</v>
      </c>
      <c r="R3" s="3">
        <v>188913</v>
      </c>
      <c r="AB3" s="3">
        <v>478614</v>
      </c>
      <c r="AC3" s="3">
        <v>481317</v>
      </c>
      <c r="AD3" s="3">
        <v>495761</v>
      </c>
      <c r="AE3" s="3">
        <v>510329</v>
      </c>
      <c r="AF3" s="3">
        <v>519926</v>
      </c>
      <c r="AG3" s="3">
        <v>555233</v>
      </c>
      <c r="AH3" s="3">
        <v>567762</v>
      </c>
      <c r="AI3" s="3">
        <v>605881</v>
      </c>
      <c r="AJ3" s="3">
        <f>SUM(G3:J3)</f>
        <v>642637</v>
      </c>
      <c r="AK3" s="3">
        <f>SUM(K3:N3)</f>
        <v>674538</v>
      </c>
      <c r="AL3" s="3">
        <f>SUM(O3:R3)</f>
        <v>706413</v>
      </c>
      <c r="AM3" s="3">
        <f>AL3*1.05</f>
        <v>741733.65</v>
      </c>
      <c r="AN3" s="3">
        <f t="shared" ref="AN3:AP3" si="1">AM3*1.05</f>
        <v>778820.33250000002</v>
      </c>
      <c r="AO3" s="3">
        <f t="shared" si="1"/>
        <v>817761.34912500007</v>
      </c>
      <c r="AP3" s="3">
        <f t="shared" si="1"/>
        <v>858649.41658125015</v>
      </c>
      <c r="AQ3" s="3">
        <f>AP3*1.03</f>
        <v>884408.89907868765</v>
      </c>
      <c r="AR3" s="3">
        <f t="shared" ref="AR3:AV3" si="2">AQ3*1.03</f>
        <v>910941.16605104832</v>
      </c>
      <c r="AS3" s="3">
        <f t="shared" si="2"/>
        <v>938269.40103257983</v>
      </c>
      <c r="AT3" s="3">
        <f t="shared" si="2"/>
        <v>966417.4830635573</v>
      </c>
      <c r="AU3" s="3">
        <f t="shared" si="2"/>
        <v>995410.00755546405</v>
      </c>
      <c r="AV3" s="3">
        <f t="shared" si="2"/>
        <v>1025272.307782128</v>
      </c>
    </row>
    <row r="4" spans="1:154" x14ac:dyDescent="0.2">
      <c r="B4" s="3" t="s">
        <v>36</v>
      </c>
      <c r="C4" s="3">
        <v>1281</v>
      </c>
      <c r="D4" s="3">
        <v>1478</v>
      </c>
      <c r="E4" s="3">
        <v>1344</v>
      </c>
      <c r="F4" s="3">
        <v>1305</v>
      </c>
      <c r="G4" s="3">
        <v>1297</v>
      </c>
      <c r="H4" s="3">
        <v>1352</v>
      </c>
      <c r="I4" s="3">
        <v>1365</v>
      </c>
      <c r="J4" s="3">
        <v>1474</v>
      </c>
      <c r="K4" s="3">
        <v>1570</v>
      </c>
      <c r="L4" s="3">
        <v>1568</v>
      </c>
      <c r="M4" s="3">
        <v>1585</v>
      </c>
      <c r="N4" s="3">
        <f>6447-SUM(K4:M4)</f>
        <v>1724</v>
      </c>
      <c r="O4" s="3">
        <v>1628</v>
      </c>
      <c r="P4" s="3">
        <v>1652</v>
      </c>
      <c r="Q4" s="3">
        <v>1727</v>
      </c>
      <c r="R4" s="3">
        <v>1743</v>
      </c>
      <c r="AB4" s="3">
        <v>3516</v>
      </c>
      <c r="AC4" s="3">
        <v>4556</v>
      </c>
      <c r="AD4" s="3">
        <v>4582</v>
      </c>
      <c r="AE4" s="3">
        <v>4076</v>
      </c>
      <c r="AF4" s="3">
        <v>4038</v>
      </c>
      <c r="AG4" s="3">
        <v>3918</v>
      </c>
      <c r="AH4" s="3">
        <v>4992</v>
      </c>
      <c r="AI4" s="3">
        <v>5408</v>
      </c>
      <c r="AJ4" s="3">
        <f>SUM(G4:J4)</f>
        <v>5488</v>
      </c>
      <c r="AK4" s="3">
        <f>SUM(K4:N4)</f>
        <v>6447</v>
      </c>
      <c r="AL4" s="3">
        <f>SUM(L4:O4)</f>
        <v>6505</v>
      </c>
      <c r="AM4" s="3">
        <f>AL4*1.05</f>
        <v>6830.25</v>
      </c>
      <c r="AN4" s="3">
        <f t="shared" ref="AN4:AP4" si="3">AM4*1.05</f>
        <v>7171.7625000000007</v>
      </c>
      <c r="AO4" s="3">
        <f t="shared" si="3"/>
        <v>7530.3506250000009</v>
      </c>
      <c r="AP4" s="3">
        <f t="shared" si="3"/>
        <v>7906.8681562500014</v>
      </c>
      <c r="AQ4" s="3">
        <f>AP4*1.03</f>
        <v>8144.0742009375017</v>
      </c>
      <c r="AR4" s="3">
        <f t="shared" ref="AR4:AV4" si="4">AQ4*1.03</f>
        <v>8388.3964269656262</v>
      </c>
      <c r="AS4" s="3">
        <f t="shared" si="4"/>
        <v>8640.0483197745943</v>
      </c>
      <c r="AT4" s="3">
        <f t="shared" si="4"/>
        <v>8899.2497693678324</v>
      </c>
      <c r="AU4" s="3">
        <f t="shared" si="4"/>
        <v>9166.2272624488669</v>
      </c>
      <c r="AV4" s="3">
        <f t="shared" si="4"/>
        <v>9441.2140803223338</v>
      </c>
    </row>
    <row r="5" spans="1:154" x14ac:dyDescent="0.2">
      <c r="B5" s="4" t="s">
        <v>7</v>
      </c>
      <c r="C5" s="4">
        <f>SUM(C3:C4)</f>
        <v>141569</v>
      </c>
      <c r="D5" s="4">
        <f>SUM(D3:D4)</f>
        <v>152859</v>
      </c>
      <c r="E5" s="4">
        <f>SUM(E3:E4)</f>
        <v>152813</v>
      </c>
      <c r="F5" s="4">
        <f>SUM(F3:F4)</f>
        <v>164048</v>
      </c>
      <c r="G5" s="4">
        <f t="shared" ref="G5:R5" si="5">SUM(G3:G4)</f>
        <v>152301</v>
      </c>
      <c r="H5" s="4">
        <f t="shared" si="5"/>
        <v>161632</v>
      </c>
      <c r="I5" s="4">
        <f t="shared" si="5"/>
        <v>160804</v>
      </c>
      <c r="J5" s="4">
        <f t="shared" si="5"/>
        <v>173388</v>
      </c>
      <c r="K5" s="4">
        <f t="shared" si="5"/>
        <v>161508</v>
      </c>
      <c r="L5" s="4">
        <f t="shared" si="5"/>
        <v>169335</v>
      </c>
      <c r="M5" s="4">
        <f t="shared" si="5"/>
        <v>169588</v>
      </c>
      <c r="N5" s="4">
        <f t="shared" si="5"/>
        <v>180554</v>
      </c>
      <c r="O5" s="4">
        <f t="shared" si="5"/>
        <v>165609</v>
      </c>
      <c r="P5" s="4">
        <f t="shared" si="5"/>
        <v>177402</v>
      </c>
      <c r="Q5" s="4">
        <f t="shared" si="5"/>
        <v>179496</v>
      </c>
      <c r="R5" s="4">
        <f t="shared" si="5"/>
        <v>190656</v>
      </c>
      <c r="AB5" s="3">
        <f t="shared" ref="AB5:AM5" si="6">SUM(AB3:AB4)</f>
        <v>482130</v>
      </c>
      <c r="AC5" s="3">
        <f t="shared" si="6"/>
        <v>485873</v>
      </c>
      <c r="AD5" s="3">
        <f t="shared" si="6"/>
        <v>500343</v>
      </c>
      <c r="AE5" s="3">
        <f t="shared" si="6"/>
        <v>514405</v>
      </c>
      <c r="AF5" s="3">
        <f t="shared" si="6"/>
        <v>523964</v>
      </c>
      <c r="AG5" s="3">
        <f t="shared" si="6"/>
        <v>559151</v>
      </c>
      <c r="AH5" s="3">
        <f t="shared" si="6"/>
        <v>572754</v>
      </c>
      <c r="AI5" s="3">
        <f t="shared" si="6"/>
        <v>611289</v>
      </c>
      <c r="AJ5" s="3">
        <f t="shared" si="6"/>
        <v>648125</v>
      </c>
      <c r="AK5" s="3">
        <f t="shared" si="6"/>
        <v>680985</v>
      </c>
      <c r="AL5" s="3">
        <f>SUM(AL3:AL4)</f>
        <v>712918</v>
      </c>
      <c r="AM5" s="3">
        <f t="shared" si="6"/>
        <v>748563.9</v>
      </c>
      <c r="AN5" s="3">
        <f t="shared" ref="AN5" si="7">SUM(AN3:AN4)</f>
        <v>785992.09499999997</v>
      </c>
      <c r="AO5" s="3">
        <f t="shared" ref="AO5" si="8">SUM(AO3:AO4)</f>
        <v>825291.69975000003</v>
      </c>
      <c r="AP5" s="3">
        <f t="shared" ref="AP5" si="9">SUM(AP3:AP4)</f>
        <v>866556.28473750013</v>
      </c>
      <c r="AQ5" s="3">
        <f t="shared" ref="AQ5" si="10">SUM(AQ3:AQ4)</f>
        <v>892552.97327962518</v>
      </c>
      <c r="AR5" s="3">
        <f t="shared" ref="AR5" si="11">SUM(AR3:AR4)</f>
        <v>919329.56247801392</v>
      </c>
      <c r="AS5" s="3">
        <f t="shared" ref="AS5" si="12">SUM(AS3:AS4)</f>
        <v>946909.44935235439</v>
      </c>
      <c r="AT5" s="3">
        <f t="shared" ref="AT5" si="13">SUM(AT3:AT4)</f>
        <v>975316.73283292516</v>
      </c>
      <c r="AU5" s="3">
        <f t="shared" ref="AU5" si="14">SUM(AU3:AU4)</f>
        <v>1004576.2348179129</v>
      </c>
      <c r="AV5" s="3">
        <f t="shared" ref="AV5" si="15">SUM(AV3:AV4)</f>
        <v>1034713.5218624503</v>
      </c>
    </row>
    <row r="6" spans="1:154" x14ac:dyDescent="0.2">
      <c r="B6" s="3" t="s">
        <v>37</v>
      </c>
      <c r="C6" s="3">
        <v>106847</v>
      </c>
      <c r="D6" s="3">
        <v>115838</v>
      </c>
      <c r="E6" s="3">
        <v>115613</v>
      </c>
      <c r="F6" s="3">
        <v>125423</v>
      </c>
      <c r="G6" s="3">
        <v>115284</v>
      </c>
      <c r="H6" s="3">
        <v>121850</v>
      </c>
      <c r="I6" s="3">
        <v>121183</v>
      </c>
      <c r="J6" s="3">
        <v>131825</v>
      </c>
      <c r="K6" s="3">
        <v>121431</v>
      </c>
      <c r="L6" s="3">
        <v>126810</v>
      </c>
      <c r="M6" s="3">
        <v>127340</v>
      </c>
      <c r="N6" s="3">
        <f>511753-SUM(K6:M6)</f>
        <v>136172</v>
      </c>
      <c r="O6" s="3">
        <v>124303</v>
      </c>
      <c r="P6" s="3">
        <v>132771</v>
      </c>
      <c r="Q6" s="3">
        <v>134706</v>
      </c>
      <c r="R6" s="3">
        <v>143615</v>
      </c>
      <c r="AB6" s="3">
        <v>360984</v>
      </c>
      <c r="AC6" s="3">
        <v>361256</v>
      </c>
      <c r="AD6" s="3">
        <v>373396</v>
      </c>
      <c r="AE6" s="3">
        <v>385301</v>
      </c>
      <c r="AF6" s="3">
        <v>394605</v>
      </c>
      <c r="AG6" s="3">
        <v>420315</v>
      </c>
      <c r="AH6" s="3">
        <v>429000</v>
      </c>
      <c r="AI6" s="3">
        <v>463721</v>
      </c>
      <c r="AJ6" s="3">
        <f>SUM(G6:J6)</f>
        <v>490142</v>
      </c>
      <c r="AK6" s="3">
        <f>SUM(K6:N6)</f>
        <v>511753</v>
      </c>
      <c r="AL6" s="3">
        <f>SUM(O6:R6)</f>
        <v>535395</v>
      </c>
      <c r="AM6" s="3">
        <f>AL6*1.05</f>
        <v>562164.75</v>
      </c>
      <c r="AN6" s="3">
        <f t="shared" ref="AN6:AP6" si="16">AM6*1.05</f>
        <v>590272.98750000005</v>
      </c>
      <c r="AO6" s="3">
        <f t="shared" si="16"/>
        <v>619786.63687500008</v>
      </c>
      <c r="AP6" s="3">
        <f t="shared" si="16"/>
        <v>650775.96871875017</v>
      </c>
      <c r="AQ6" s="3">
        <f>AP6*1.02</f>
        <v>663791.48809312517</v>
      </c>
      <c r="AR6" s="3">
        <f t="shared" ref="AR6:AV6" si="17">AQ6*1.02</f>
        <v>677067.31785498769</v>
      </c>
      <c r="AS6" s="3">
        <f t="shared" si="17"/>
        <v>690608.6642120874</v>
      </c>
      <c r="AT6" s="3">
        <f t="shared" si="17"/>
        <v>704420.83749632922</v>
      </c>
      <c r="AU6" s="3">
        <f t="shared" si="17"/>
        <v>718509.25424625585</v>
      </c>
      <c r="AV6" s="3">
        <f t="shared" si="17"/>
        <v>732879.439331181</v>
      </c>
    </row>
    <row r="7" spans="1:154" x14ac:dyDescent="0.2">
      <c r="B7" s="3" t="s">
        <v>16</v>
      </c>
      <c r="C7" s="3">
        <f>C5-C6</f>
        <v>34722</v>
      </c>
      <c r="D7" s="3">
        <f>D5-D6</f>
        <v>37021</v>
      </c>
      <c r="E7" s="3">
        <f>E5-E6</f>
        <v>37200</v>
      </c>
      <c r="F7" s="3">
        <f>F5-F6</f>
        <v>38625</v>
      </c>
      <c r="G7" s="3">
        <f>G5-G6</f>
        <v>37017</v>
      </c>
      <c r="H7" s="3">
        <f t="shared" ref="H7:R7" si="18">H5-H6</f>
        <v>39782</v>
      </c>
      <c r="I7" s="3">
        <f t="shared" si="18"/>
        <v>39621</v>
      </c>
      <c r="J7" s="3">
        <f t="shared" si="18"/>
        <v>41563</v>
      </c>
      <c r="K7" s="3">
        <f t="shared" si="18"/>
        <v>40077</v>
      </c>
      <c r="L7" s="3">
        <f t="shared" si="18"/>
        <v>42525</v>
      </c>
      <c r="M7" s="3">
        <f t="shared" si="18"/>
        <v>42248</v>
      </c>
      <c r="N7" s="3">
        <f t="shared" si="18"/>
        <v>44382</v>
      </c>
      <c r="O7" s="3">
        <f t="shared" si="18"/>
        <v>41306</v>
      </c>
      <c r="P7" s="3">
        <f t="shared" si="18"/>
        <v>44631</v>
      </c>
      <c r="Q7" s="3">
        <f t="shared" si="18"/>
        <v>44790</v>
      </c>
      <c r="R7" s="3">
        <f t="shared" si="18"/>
        <v>47041</v>
      </c>
      <c r="AB7" s="3">
        <f t="shared" ref="AB7:AM7" si="19">AB5-AB6</f>
        <v>121146</v>
      </c>
      <c r="AC7" s="3">
        <f t="shared" si="19"/>
        <v>124617</v>
      </c>
      <c r="AD7" s="3">
        <f t="shared" si="19"/>
        <v>126947</v>
      </c>
      <c r="AE7" s="3">
        <f t="shared" si="19"/>
        <v>129104</v>
      </c>
      <c r="AF7" s="3">
        <f t="shared" si="19"/>
        <v>129359</v>
      </c>
      <c r="AG7" s="3">
        <f t="shared" si="19"/>
        <v>138836</v>
      </c>
      <c r="AH7" s="3">
        <f t="shared" si="19"/>
        <v>143754</v>
      </c>
      <c r="AI7" s="3">
        <f t="shared" si="19"/>
        <v>147568</v>
      </c>
      <c r="AJ7" s="3">
        <f t="shared" si="19"/>
        <v>157983</v>
      </c>
      <c r="AK7" s="3">
        <f t="shared" si="19"/>
        <v>169232</v>
      </c>
      <c r="AL7" s="3">
        <f t="shared" si="19"/>
        <v>177523</v>
      </c>
      <c r="AM7" s="3">
        <f t="shared" si="19"/>
        <v>186399.15000000002</v>
      </c>
      <c r="AN7" s="3">
        <f t="shared" ref="AN7" si="20">AN5-AN6</f>
        <v>195719.10749999993</v>
      </c>
      <c r="AO7" s="3">
        <f t="shared" ref="AO7" si="21">AO5-AO6</f>
        <v>205505.06287499995</v>
      </c>
      <c r="AP7" s="3">
        <f t="shared" ref="AP7" si="22">AP5-AP6</f>
        <v>215780.31601874996</v>
      </c>
      <c r="AQ7" s="3">
        <f t="shared" ref="AQ7" si="23">AQ5-AQ6</f>
        <v>228761.48518650001</v>
      </c>
      <c r="AR7" s="3">
        <f t="shared" ref="AR7" si="24">AR5-AR6</f>
        <v>242262.24462302623</v>
      </c>
      <c r="AS7" s="3">
        <f t="shared" ref="AS7" si="25">AS5-AS6</f>
        <v>256300.78514026699</v>
      </c>
      <c r="AT7" s="3">
        <f t="shared" ref="AT7" si="26">AT5-AT6</f>
        <v>270895.89533659595</v>
      </c>
      <c r="AU7" s="3">
        <f t="shared" ref="AU7" si="27">AU5-AU6</f>
        <v>286066.98057165707</v>
      </c>
      <c r="AV7" s="3">
        <f t="shared" ref="AV7" si="28">AV5-AV6</f>
        <v>301834.08253126929</v>
      </c>
    </row>
    <row r="8" spans="1:154" x14ac:dyDescent="0.2">
      <c r="B8" s="3" t="s">
        <v>38</v>
      </c>
      <c r="C8" s="3">
        <v>29404</v>
      </c>
      <c r="D8" s="3">
        <v>30167</v>
      </c>
      <c r="E8" s="3">
        <v>34505</v>
      </c>
      <c r="F8" s="3">
        <v>33064</v>
      </c>
      <c r="G8" s="3">
        <v>30777</v>
      </c>
      <c r="H8" s="3">
        <v>32466</v>
      </c>
      <c r="I8" s="3">
        <v>33419</v>
      </c>
      <c r="J8" s="3">
        <v>34309</v>
      </c>
      <c r="K8" s="3">
        <v>33236</v>
      </c>
      <c r="L8" s="3">
        <v>34585</v>
      </c>
      <c r="M8" s="3">
        <v>35540</v>
      </c>
      <c r="N8" s="3">
        <f>139884-SUM(K8:M8)</f>
        <v>36523</v>
      </c>
      <c r="O8" s="3">
        <v>34171</v>
      </c>
      <c r="P8" s="3">
        <v>37345</v>
      </c>
      <c r="Q8" s="3">
        <v>38094</v>
      </c>
      <c r="R8" s="3">
        <v>38333</v>
      </c>
      <c r="AB8" s="3">
        <v>97041</v>
      </c>
      <c r="AC8" s="3">
        <v>101853</v>
      </c>
      <c r="AD8" s="3">
        <v>106510</v>
      </c>
      <c r="AE8" s="3">
        <v>107147</v>
      </c>
      <c r="AF8" s="3">
        <v>108791</v>
      </c>
      <c r="AG8" s="3">
        <v>116288</v>
      </c>
      <c r="AH8" s="3">
        <v>117812</v>
      </c>
      <c r="AI8" s="3">
        <v>127140</v>
      </c>
      <c r="AJ8" s="3">
        <f>SUM(G8:J8)</f>
        <v>130971</v>
      </c>
      <c r="AK8" s="3">
        <f>SUM(K8:N8)</f>
        <v>139884</v>
      </c>
      <c r="AL8" s="3">
        <f>SUM(O8:R8)</f>
        <v>147943</v>
      </c>
      <c r="AM8" s="3">
        <f>AL8*1.05</f>
        <v>155340.15</v>
      </c>
      <c r="AN8" s="3">
        <f t="shared" ref="AN8:AP8" si="29">AM8*1.05</f>
        <v>163107.1575</v>
      </c>
      <c r="AO8" s="3">
        <f t="shared" si="29"/>
        <v>171262.51537500002</v>
      </c>
      <c r="AP8" s="3">
        <f t="shared" si="29"/>
        <v>179825.64114375002</v>
      </c>
      <c r="AQ8" s="3">
        <f t="shared" ref="AQ8:AV8" si="30">AP8*1.02</f>
        <v>183422.15396662502</v>
      </c>
      <c r="AR8" s="3">
        <f t="shared" si="30"/>
        <v>187090.59704595752</v>
      </c>
      <c r="AS8" s="3">
        <f t="shared" si="30"/>
        <v>190832.40898687666</v>
      </c>
      <c r="AT8" s="3">
        <f t="shared" si="30"/>
        <v>194649.05716661419</v>
      </c>
      <c r="AU8" s="3">
        <f t="shared" si="30"/>
        <v>198542.03830994648</v>
      </c>
      <c r="AV8" s="3">
        <f t="shared" si="30"/>
        <v>202512.87907614541</v>
      </c>
    </row>
    <row r="9" spans="1:154" x14ac:dyDescent="0.2">
      <c r="B9" s="3" t="s">
        <v>17</v>
      </c>
      <c r="C9" s="3">
        <f>C5-C6-C8</f>
        <v>5318</v>
      </c>
      <c r="D9" s="3">
        <f>D5-D6-D8</f>
        <v>6854</v>
      </c>
      <c r="E9" s="3">
        <f>E5-E6-E8</f>
        <v>2695</v>
      </c>
      <c r="F9" s="3">
        <f>F5-F6-F8</f>
        <v>5561</v>
      </c>
      <c r="G9" s="3">
        <f t="shared" ref="G9:R9" si="31">G5-G6-G8</f>
        <v>6240</v>
      </c>
      <c r="H9" s="3">
        <f t="shared" si="31"/>
        <v>7316</v>
      </c>
      <c r="I9" s="3">
        <f t="shared" si="31"/>
        <v>6202</v>
      </c>
      <c r="J9" s="3">
        <f t="shared" si="31"/>
        <v>7254</v>
      </c>
      <c r="K9" s="3">
        <f t="shared" si="31"/>
        <v>6841</v>
      </c>
      <c r="L9" s="3">
        <f t="shared" si="31"/>
        <v>7940</v>
      </c>
      <c r="M9" s="3">
        <f t="shared" si="31"/>
        <v>6708</v>
      </c>
      <c r="N9" s="3">
        <f t="shared" si="31"/>
        <v>7859</v>
      </c>
      <c r="O9" s="3">
        <f t="shared" si="31"/>
        <v>7135</v>
      </c>
      <c r="P9" s="3">
        <f t="shared" si="31"/>
        <v>7286</v>
      </c>
      <c r="Q9" s="3">
        <f t="shared" si="31"/>
        <v>6696</v>
      </c>
      <c r="R9" s="3">
        <f t="shared" si="31"/>
        <v>8708</v>
      </c>
      <c r="AB9" s="3">
        <f t="shared" ref="AB9:AM9" si="32">AB5-AB6-AB8</f>
        <v>24105</v>
      </c>
      <c r="AC9" s="3">
        <f t="shared" si="32"/>
        <v>22764</v>
      </c>
      <c r="AD9" s="3">
        <f t="shared" si="32"/>
        <v>20437</v>
      </c>
      <c r="AE9" s="3">
        <f t="shared" si="32"/>
        <v>21957</v>
      </c>
      <c r="AF9" s="3">
        <f t="shared" si="32"/>
        <v>20568</v>
      </c>
      <c r="AG9" s="3">
        <f t="shared" si="32"/>
        <v>22548</v>
      </c>
      <c r="AH9" s="3">
        <f t="shared" si="32"/>
        <v>25942</v>
      </c>
      <c r="AI9" s="3">
        <f t="shared" si="32"/>
        <v>20428</v>
      </c>
      <c r="AJ9" s="3">
        <f t="shared" si="32"/>
        <v>27012</v>
      </c>
      <c r="AK9" s="3">
        <f t="shared" si="32"/>
        <v>29348</v>
      </c>
      <c r="AL9" s="3">
        <f>AL5-AL6-AL8</f>
        <v>29580</v>
      </c>
      <c r="AM9" s="3">
        <f t="shared" si="32"/>
        <v>31059.000000000029</v>
      </c>
      <c r="AN9" s="3">
        <f t="shared" ref="AN9" si="33">AN5-AN6-AN8</f>
        <v>32611.949999999924</v>
      </c>
      <c r="AO9" s="3">
        <f t="shared" ref="AO9" si="34">AO5-AO6-AO8</f>
        <v>34242.547499999928</v>
      </c>
      <c r="AP9" s="3">
        <f t="shared" ref="AP9" si="35">AP5-AP6-AP8</f>
        <v>35954.674874999939</v>
      </c>
      <c r="AQ9" s="3">
        <f t="shared" ref="AQ9" si="36">AQ5-AQ6-AQ8</f>
        <v>45339.331219874992</v>
      </c>
      <c r="AR9" s="3">
        <f t="shared" ref="AR9" si="37">AR5-AR6-AR8</f>
        <v>55171.64757706871</v>
      </c>
      <c r="AS9" s="3">
        <f t="shared" ref="AS9" si="38">AS5-AS6-AS8</f>
        <v>65468.376153390331</v>
      </c>
      <c r="AT9" s="3">
        <f t="shared" ref="AT9" si="39">AT5-AT6-AT8</f>
        <v>76246.838169981755</v>
      </c>
      <c r="AU9" s="3">
        <f t="shared" ref="AU9" si="40">AU5-AU6-AU8</f>
        <v>87524.942261710588</v>
      </c>
      <c r="AV9" s="3">
        <f t="shared" ref="AV9" si="41">AV5-AV6-AV8</f>
        <v>99321.203455123876</v>
      </c>
    </row>
    <row r="10" spans="1:154" x14ac:dyDescent="0.2">
      <c r="B10" s="3" t="s">
        <v>39</v>
      </c>
      <c r="C10" s="3">
        <f>372+83-36</f>
        <v>419</v>
      </c>
      <c r="D10" s="3">
        <f>395+84-31</f>
        <v>448</v>
      </c>
      <c r="E10" s="3">
        <f>499+85-84</f>
        <v>500</v>
      </c>
      <c r="F10" s="3">
        <f>521+89-103</f>
        <v>507</v>
      </c>
      <c r="G10" s="3">
        <f>568+96-107</f>
        <v>557</v>
      </c>
      <c r="H10" s="3">
        <f>543+99-148</f>
        <v>494</v>
      </c>
      <c r="I10" s="3">
        <f>572+110-145</f>
        <v>537</v>
      </c>
      <c r="J10" s="3">
        <f>576+119-146</f>
        <v>549</v>
      </c>
      <c r="K10" s="3">
        <f>597+117-114</f>
        <v>600</v>
      </c>
      <c r="L10" s="3">
        <f>557+122-114</f>
        <v>565</v>
      </c>
      <c r="M10" s="3">
        <f>496+122-140</f>
        <v>478</v>
      </c>
      <c r="N10" s="3">
        <f>2249+479-483-SUM(K10:M10)</f>
        <v>602</v>
      </c>
      <c r="O10" s="3">
        <f>519+118-93</f>
        <v>544</v>
      </c>
      <c r="P10" s="3">
        <f>651+118-94</f>
        <v>675</v>
      </c>
      <c r="Q10" s="3">
        <f>563+121-93</f>
        <v>591</v>
      </c>
      <c r="R10" s="3">
        <f>585+124-88</f>
        <v>621</v>
      </c>
      <c r="AB10" s="3">
        <f>2027+521-81</f>
        <v>2467</v>
      </c>
      <c r="AC10" s="3">
        <f>2044+323-100</f>
        <v>2267</v>
      </c>
      <c r="AD10" s="3">
        <f>1978+352-152</f>
        <v>2178</v>
      </c>
      <c r="AE10" s="3">
        <f>1975+371-217</f>
        <v>2129</v>
      </c>
      <c r="AF10" s="3">
        <f>2262+337-189</f>
        <v>2410</v>
      </c>
      <c r="AG10" s="3">
        <f>1976+339-121</f>
        <v>2194</v>
      </c>
      <c r="AH10" s="3">
        <f>1674+320-158</f>
        <v>1836</v>
      </c>
      <c r="AI10" s="3">
        <f>1787+341-254</f>
        <v>1874</v>
      </c>
      <c r="AJ10" s="3">
        <f>SUM(G10:J10)</f>
        <v>2137</v>
      </c>
      <c r="AK10" s="3">
        <f>SUM(K10:N10)</f>
        <v>2245</v>
      </c>
      <c r="AL10" s="3">
        <f>SUM(O10:R10)</f>
        <v>2431</v>
      </c>
      <c r="AM10" s="3">
        <f>+AL24*$AQ$27</f>
        <v>-274.39</v>
      </c>
      <c r="AN10" s="3">
        <f t="shared" ref="AN10:AV10" si="42">+AM24*$AQ$27</f>
        <v>-16.066099999999714</v>
      </c>
      <c r="AO10" s="3">
        <f t="shared" si="42"/>
        <v>255.20406099999948</v>
      </c>
      <c r="AP10" s="3">
        <f t="shared" si="42"/>
        <v>540.06749538999884</v>
      </c>
      <c r="AQ10" s="3">
        <f t="shared" si="42"/>
        <v>839.20356918609821</v>
      </c>
      <c r="AR10" s="3">
        <f t="shared" si="42"/>
        <v>1229.1948456929872</v>
      </c>
      <c r="AS10" s="3">
        <f t="shared" si="42"/>
        <v>1713.6093730067444</v>
      </c>
      <c r="AT10" s="3">
        <f t="shared" si="42"/>
        <v>2296.1470408105806</v>
      </c>
      <c r="AU10" s="3">
        <f t="shared" si="42"/>
        <v>2980.6439521022921</v>
      </c>
      <c r="AV10" s="3">
        <f t="shared" si="42"/>
        <v>3771.0769351983754</v>
      </c>
    </row>
    <row r="11" spans="1:154" x14ac:dyDescent="0.2">
      <c r="B11" s="3" t="s">
        <v>40</v>
      </c>
      <c r="C11" s="3">
        <v>1998</v>
      </c>
      <c r="D11" s="3">
        <v>-238</v>
      </c>
      <c r="E11" s="3">
        <v>3626</v>
      </c>
      <c r="F11" s="3">
        <v>-3848</v>
      </c>
      <c r="G11" s="3">
        <v>2995</v>
      </c>
      <c r="H11" s="3">
        <v>-3905</v>
      </c>
      <c r="I11" s="3">
        <v>4750</v>
      </c>
      <c r="J11" s="3">
        <v>-813</v>
      </c>
      <c r="K11" s="3">
        <v>-794</v>
      </c>
      <c r="L11" s="3">
        <v>1162</v>
      </c>
      <c r="M11" s="3">
        <v>132</v>
      </c>
      <c r="N11" s="3">
        <f>794-SUM(K11:M11)</f>
        <v>294</v>
      </c>
      <c r="O11" s="3">
        <v>597</v>
      </c>
      <c r="P11" s="3">
        <v>-2708</v>
      </c>
      <c r="Q11" s="3">
        <v>-2081</v>
      </c>
      <c r="R11" s="3">
        <v>2117</v>
      </c>
      <c r="AB11" s="3">
        <v>0</v>
      </c>
      <c r="AC11" s="3">
        <v>0</v>
      </c>
      <c r="AD11" s="3">
        <v>3136</v>
      </c>
      <c r="AE11" s="3">
        <v>8368</v>
      </c>
      <c r="AF11" s="3">
        <v>-1958</v>
      </c>
      <c r="AG11" s="3">
        <v>-210</v>
      </c>
      <c r="AH11" s="3">
        <f>2410+3000</f>
        <v>5410</v>
      </c>
      <c r="AI11" s="3">
        <v>1538</v>
      </c>
      <c r="AJ11" s="3">
        <f>SUM(G11:J11)</f>
        <v>3027</v>
      </c>
      <c r="AK11" s="3">
        <f>SUM(K11:N11)</f>
        <v>794</v>
      </c>
      <c r="AL11" s="3">
        <f>SUM(O11:R11)</f>
        <v>-2075</v>
      </c>
      <c r="AM11" s="3">
        <f>AL11</f>
        <v>-2075</v>
      </c>
      <c r="AN11" s="3">
        <f t="shared" ref="AN11:AV11" si="43">AM11</f>
        <v>-2075</v>
      </c>
      <c r="AO11" s="3">
        <f t="shared" si="43"/>
        <v>-2075</v>
      </c>
      <c r="AP11" s="3">
        <f t="shared" si="43"/>
        <v>-2075</v>
      </c>
      <c r="AQ11" s="3">
        <f t="shared" si="43"/>
        <v>-2075</v>
      </c>
      <c r="AR11" s="3">
        <f t="shared" si="43"/>
        <v>-2075</v>
      </c>
      <c r="AS11" s="3">
        <f t="shared" si="43"/>
        <v>-2075</v>
      </c>
      <c r="AT11" s="3">
        <f t="shared" si="43"/>
        <v>-2075</v>
      </c>
      <c r="AU11" s="3">
        <f t="shared" si="43"/>
        <v>-2075</v>
      </c>
      <c r="AV11" s="3">
        <f t="shared" si="43"/>
        <v>-2075</v>
      </c>
    </row>
    <row r="12" spans="1:154" x14ac:dyDescent="0.2">
      <c r="B12" s="3" t="s">
        <v>41</v>
      </c>
      <c r="C12" s="3">
        <f>C9-C10-C11</f>
        <v>2901</v>
      </c>
      <c r="D12" s="3">
        <f>D9-D10-D11</f>
        <v>6644</v>
      </c>
      <c r="E12" s="3">
        <f>E9-E10-E11</f>
        <v>-1431</v>
      </c>
      <c r="F12" s="3">
        <f>F9-F10-F11</f>
        <v>8902</v>
      </c>
      <c r="G12" s="3">
        <f t="shared" ref="G12:R12" si="44">G9-G10-G11</f>
        <v>2688</v>
      </c>
      <c r="H12" s="3">
        <f t="shared" si="44"/>
        <v>10727</v>
      </c>
      <c r="I12" s="3">
        <f t="shared" si="44"/>
        <v>915</v>
      </c>
      <c r="J12" s="3">
        <f t="shared" si="44"/>
        <v>7518</v>
      </c>
      <c r="K12" s="3">
        <f t="shared" si="44"/>
        <v>7035</v>
      </c>
      <c r="L12" s="3">
        <f t="shared" si="44"/>
        <v>6213</v>
      </c>
      <c r="M12" s="3">
        <f t="shared" si="44"/>
        <v>6098</v>
      </c>
      <c r="N12" s="3">
        <f t="shared" si="44"/>
        <v>6963</v>
      </c>
      <c r="O12" s="3">
        <f t="shared" si="44"/>
        <v>5994</v>
      </c>
      <c r="P12" s="3">
        <f t="shared" si="44"/>
        <v>9319</v>
      </c>
      <c r="Q12" s="3">
        <f t="shared" si="44"/>
        <v>8186</v>
      </c>
      <c r="R12" s="3">
        <f t="shared" si="44"/>
        <v>5970</v>
      </c>
      <c r="AB12" s="3">
        <f t="shared" ref="AB12:AM12" si="45">AB9-AB10-AB11</f>
        <v>21638</v>
      </c>
      <c r="AC12" s="3">
        <f t="shared" si="45"/>
        <v>20497</v>
      </c>
      <c r="AD12" s="3">
        <f t="shared" si="45"/>
        <v>15123</v>
      </c>
      <c r="AE12" s="3">
        <f t="shared" si="45"/>
        <v>11460</v>
      </c>
      <c r="AF12" s="3">
        <f t="shared" si="45"/>
        <v>20116</v>
      </c>
      <c r="AG12" s="3">
        <f t="shared" si="45"/>
        <v>20564</v>
      </c>
      <c r="AH12" s="3">
        <f t="shared" si="45"/>
        <v>18696</v>
      </c>
      <c r="AI12" s="3">
        <f t="shared" si="45"/>
        <v>17016</v>
      </c>
      <c r="AJ12" s="3">
        <f t="shared" si="45"/>
        <v>21848</v>
      </c>
      <c r="AK12" s="3">
        <f t="shared" si="45"/>
        <v>26309</v>
      </c>
      <c r="AL12" s="3">
        <f>AL9-AL10-AL11</f>
        <v>29224</v>
      </c>
      <c r="AM12" s="3">
        <f t="shared" si="45"/>
        <v>33408.390000000029</v>
      </c>
      <c r="AN12" s="3">
        <f t="shared" ref="AN12" si="46">AN9-AN10-AN11</f>
        <v>34703.016099999921</v>
      </c>
      <c r="AO12" s="3">
        <f t="shared" ref="AO12" si="47">AO9-AO10-AO11</f>
        <v>36062.343438999931</v>
      </c>
      <c r="AP12" s="3">
        <f t="shared" ref="AP12" si="48">AP9-AP10-AP11</f>
        <v>37489.607379609937</v>
      </c>
      <c r="AQ12" s="3">
        <f t="shared" ref="AQ12" si="49">AQ9-AQ10-AQ11</f>
        <v>46575.127650688897</v>
      </c>
      <c r="AR12" s="3">
        <f t="shared" ref="AR12" si="50">AR9-AR10-AR11</f>
        <v>56017.452731375721</v>
      </c>
      <c r="AS12" s="3">
        <f t="shared" ref="AS12" si="51">AS9-AS10-AS11</f>
        <v>65829.766780383594</v>
      </c>
      <c r="AT12" s="3">
        <f t="shared" ref="AT12" si="52">AT9-AT10-AT11</f>
        <v>76025.691129171173</v>
      </c>
      <c r="AU12" s="3">
        <f t="shared" ref="AU12" si="53">AU9-AU10-AU11</f>
        <v>86619.29830960829</v>
      </c>
      <c r="AV12" s="3">
        <f t="shared" ref="AV12" si="54">AV9-AV10-AV11</f>
        <v>97625.126519925499</v>
      </c>
    </row>
    <row r="13" spans="1:154" x14ac:dyDescent="0.2">
      <c r="B13" s="3" t="s">
        <v>42</v>
      </c>
      <c r="C13" s="3">
        <v>798</v>
      </c>
      <c r="D13" s="3">
        <v>1497</v>
      </c>
      <c r="E13" s="3">
        <v>336</v>
      </c>
      <c r="F13" s="3">
        <v>3093</v>
      </c>
      <c r="G13" s="3">
        <v>792</v>
      </c>
      <c r="H13" s="3">
        <v>2674</v>
      </c>
      <c r="I13" s="3">
        <v>272</v>
      </c>
      <c r="J13" s="3">
        <v>1840</v>
      </c>
      <c r="K13" s="3">
        <f>1728</f>
        <v>1728</v>
      </c>
      <c r="L13" s="3">
        <f>1502</f>
        <v>1502</v>
      </c>
      <c r="M13" s="3">
        <f>1384</f>
        <v>1384</v>
      </c>
      <c r="N13" s="3">
        <f>6152-SUM(K13:M13)</f>
        <v>1538</v>
      </c>
      <c r="O13" s="3">
        <f>1355</f>
        <v>1355</v>
      </c>
      <c r="P13" s="3">
        <f>2168</f>
        <v>2168</v>
      </c>
      <c r="Q13" s="3">
        <f>2098</f>
        <v>2098</v>
      </c>
      <c r="R13" s="3">
        <v>1578</v>
      </c>
      <c r="AB13" s="3">
        <v>6558</v>
      </c>
      <c r="AC13" s="3">
        <v>6204</v>
      </c>
      <c r="AD13" s="3">
        <v>4600</v>
      </c>
      <c r="AE13" s="3">
        <v>4281</v>
      </c>
      <c r="AF13" s="3">
        <v>4915</v>
      </c>
      <c r="AG13" s="3">
        <v>6858</v>
      </c>
      <c r="AH13" s="3">
        <v>4756</v>
      </c>
      <c r="AI13" s="3">
        <v>5724</v>
      </c>
      <c r="AJ13" s="3">
        <f>SUM(G13:J13)</f>
        <v>5578</v>
      </c>
      <c r="AK13" s="3">
        <f>SUM(K13:N13)</f>
        <v>6152</v>
      </c>
      <c r="AL13" s="3">
        <f>SUM(O13:R13)</f>
        <v>7199</v>
      </c>
      <c r="AM13" s="3">
        <f>AL13</f>
        <v>7199</v>
      </c>
      <c r="AN13" s="3">
        <f t="shared" ref="AN13:AV13" si="55">AM13</f>
        <v>7199</v>
      </c>
      <c r="AO13" s="3">
        <f t="shared" si="55"/>
        <v>7199</v>
      </c>
      <c r="AP13" s="3">
        <f t="shared" si="55"/>
        <v>7199</v>
      </c>
      <c r="AQ13" s="3">
        <f t="shared" si="55"/>
        <v>7199</v>
      </c>
      <c r="AR13" s="3">
        <f t="shared" si="55"/>
        <v>7199</v>
      </c>
      <c r="AS13" s="3">
        <f t="shared" si="55"/>
        <v>7199</v>
      </c>
      <c r="AT13" s="3">
        <f t="shared" si="55"/>
        <v>7199</v>
      </c>
      <c r="AU13" s="3">
        <f t="shared" si="55"/>
        <v>7199</v>
      </c>
      <c r="AV13" s="3">
        <f t="shared" si="55"/>
        <v>7199</v>
      </c>
    </row>
    <row r="14" spans="1:154" x14ac:dyDescent="0.2">
      <c r="B14" s="3" t="s">
        <v>43</v>
      </c>
      <c r="C14" s="3">
        <v>-49</v>
      </c>
      <c r="D14" s="3">
        <v>2</v>
      </c>
      <c r="E14" s="3">
        <v>-31</v>
      </c>
      <c r="F14" s="3">
        <v>466</v>
      </c>
      <c r="G14" s="3">
        <v>-223</v>
      </c>
      <c r="H14" s="3">
        <v>-162</v>
      </c>
      <c r="I14" s="3">
        <v>-190</v>
      </c>
      <c r="J14" s="3">
        <v>-184</v>
      </c>
      <c r="K14" s="3">
        <v>-203</v>
      </c>
      <c r="L14" s="3">
        <v>-210</v>
      </c>
      <c r="M14" s="3">
        <v>-137</v>
      </c>
      <c r="N14" s="3">
        <v>-171</v>
      </c>
      <c r="O14" s="3">
        <v>-152</v>
      </c>
      <c r="P14" s="3">
        <v>-125</v>
      </c>
      <c r="Q14" s="3">
        <v>55</v>
      </c>
      <c r="R14" s="3">
        <v>-155</v>
      </c>
      <c r="AB14" s="3">
        <v>-386</v>
      </c>
      <c r="AC14" s="3">
        <v>-650</v>
      </c>
      <c r="AD14" s="3">
        <v>-661</v>
      </c>
      <c r="AE14" s="3">
        <v>-509</v>
      </c>
      <c r="AF14" s="3">
        <v>-320</v>
      </c>
      <c r="AG14" s="3">
        <v>-196</v>
      </c>
      <c r="AH14" s="3">
        <v>-267</v>
      </c>
      <c r="AI14" s="3">
        <v>388</v>
      </c>
      <c r="AJ14" s="3">
        <f>SUM(G14:J14)</f>
        <v>-759</v>
      </c>
      <c r="AK14" s="3">
        <f>SUM(K14:N14)</f>
        <v>-721</v>
      </c>
      <c r="AL14" s="3">
        <f>SUM(O14:R14)</f>
        <v>-377</v>
      </c>
      <c r="AM14" s="3">
        <f>AL14</f>
        <v>-377</v>
      </c>
      <c r="AN14" s="3">
        <f t="shared" ref="AN14:AV14" si="56">AM14</f>
        <v>-377</v>
      </c>
      <c r="AO14" s="3">
        <f t="shared" si="56"/>
        <v>-377</v>
      </c>
      <c r="AP14" s="3">
        <f t="shared" si="56"/>
        <v>-377</v>
      </c>
      <c r="AQ14" s="3">
        <f t="shared" si="56"/>
        <v>-377</v>
      </c>
      <c r="AR14" s="3">
        <f t="shared" si="56"/>
        <v>-377</v>
      </c>
      <c r="AS14" s="3">
        <f t="shared" si="56"/>
        <v>-377</v>
      </c>
      <c r="AT14" s="3">
        <f t="shared" si="56"/>
        <v>-377</v>
      </c>
      <c r="AU14" s="3">
        <f t="shared" si="56"/>
        <v>-377</v>
      </c>
      <c r="AV14" s="3">
        <f t="shared" si="56"/>
        <v>-377</v>
      </c>
    </row>
    <row r="15" spans="1:154" x14ac:dyDescent="0.2">
      <c r="B15" s="3" t="s">
        <v>18</v>
      </c>
      <c r="C15" s="3">
        <f t="shared" ref="C15:J15" si="57">C12-C13+C14</f>
        <v>2054</v>
      </c>
      <c r="D15" s="3">
        <f t="shared" si="57"/>
        <v>5149</v>
      </c>
      <c r="E15" s="3">
        <f t="shared" si="57"/>
        <v>-1798</v>
      </c>
      <c r="F15" s="3">
        <f t="shared" si="57"/>
        <v>6275</v>
      </c>
      <c r="G15" s="3">
        <f t="shared" si="57"/>
        <v>1673</v>
      </c>
      <c r="H15" s="3">
        <f t="shared" si="57"/>
        <v>7891</v>
      </c>
      <c r="I15" s="3">
        <f t="shared" si="57"/>
        <v>453</v>
      </c>
      <c r="J15" s="3">
        <f t="shared" si="57"/>
        <v>5494</v>
      </c>
      <c r="K15" s="3">
        <f t="shared" ref="K15:R15" si="58">K12-K13+K14</f>
        <v>5104</v>
      </c>
      <c r="L15" s="3">
        <f t="shared" si="58"/>
        <v>4501</v>
      </c>
      <c r="M15" s="3">
        <f t="shared" si="58"/>
        <v>4577</v>
      </c>
      <c r="N15" s="3">
        <f t="shared" si="58"/>
        <v>5254</v>
      </c>
      <c r="O15" s="3">
        <f t="shared" si="58"/>
        <v>4487</v>
      </c>
      <c r="P15" s="3">
        <f t="shared" si="58"/>
        <v>7026</v>
      </c>
      <c r="Q15" s="3">
        <f t="shared" si="58"/>
        <v>6143</v>
      </c>
      <c r="R15" s="3">
        <f t="shared" si="58"/>
        <v>4237</v>
      </c>
      <c r="AB15" s="3">
        <f t="shared" ref="AB15:AM15" si="59">AB12-AB13+AB14</f>
        <v>14694</v>
      </c>
      <c r="AC15" s="3">
        <f t="shared" si="59"/>
        <v>13643</v>
      </c>
      <c r="AD15" s="3">
        <f t="shared" si="59"/>
        <v>9862</v>
      </c>
      <c r="AE15" s="3">
        <f t="shared" si="59"/>
        <v>6670</v>
      </c>
      <c r="AF15" s="3">
        <f t="shared" si="59"/>
        <v>14881</v>
      </c>
      <c r="AG15" s="3">
        <f t="shared" si="59"/>
        <v>13510</v>
      </c>
      <c r="AH15" s="3">
        <f t="shared" si="59"/>
        <v>13673</v>
      </c>
      <c r="AI15" s="3">
        <f t="shared" si="59"/>
        <v>11680</v>
      </c>
      <c r="AJ15" s="3">
        <f t="shared" si="59"/>
        <v>15511</v>
      </c>
      <c r="AK15" s="3">
        <f>AK12-AK13+AK14</f>
        <v>19436</v>
      </c>
      <c r="AL15" s="3">
        <f>AL12-AL13+AL14</f>
        <v>21648</v>
      </c>
      <c r="AM15" s="3">
        <f t="shared" si="59"/>
        <v>25832.390000000029</v>
      </c>
      <c r="AN15" s="3">
        <f t="shared" ref="AN15" si="60">AN12-AN13+AN14</f>
        <v>27127.016099999921</v>
      </c>
      <c r="AO15" s="3">
        <f t="shared" ref="AO15" si="61">AO12-AO13+AO14</f>
        <v>28486.343438999931</v>
      </c>
      <c r="AP15" s="3">
        <f t="shared" ref="AP15" si="62">AP12-AP13+AP14</f>
        <v>29913.607379609937</v>
      </c>
      <c r="AQ15" s="3">
        <f t="shared" ref="AQ15" si="63">AQ12-AQ13+AQ14</f>
        <v>38999.127650688897</v>
      </c>
      <c r="AR15" s="3">
        <f t="shared" ref="AR15" si="64">AR12-AR13+AR14</f>
        <v>48441.452731375721</v>
      </c>
      <c r="AS15" s="3">
        <f t="shared" ref="AS15" si="65">AS12-AS13+AS14</f>
        <v>58253.766780383594</v>
      </c>
      <c r="AT15" s="3">
        <f t="shared" ref="AT15" si="66">AT12-AT13+AT14</f>
        <v>68449.691129171173</v>
      </c>
      <c r="AU15" s="3">
        <f t="shared" ref="AU15" si="67">AU12-AU13+AU14</f>
        <v>79043.29830960829</v>
      </c>
      <c r="AV15" s="3">
        <f t="shared" ref="AV15" si="68">AV12-AV13+AV14</f>
        <v>90049.126519925499</v>
      </c>
      <c r="AW15" s="3">
        <f>+AV15*(1+$AQ$28)</f>
        <v>89148.63525472625</v>
      </c>
      <c r="AX15" s="3">
        <f t="shared" ref="AX15:CI15" si="69">+AW15*(1+$AQ$28)</f>
        <v>88257.148902178989</v>
      </c>
      <c r="AY15" s="3">
        <f t="shared" si="69"/>
        <v>87374.577413157196</v>
      </c>
      <c r="AZ15" s="3">
        <f t="shared" si="69"/>
        <v>86500.831639025622</v>
      </c>
      <c r="BA15" s="3">
        <f t="shared" si="69"/>
        <v>85635.823322635362</v>
      </c>
      <c r="BB15" s="3">
        <f t="shared" si="69"/>
        <v>84779.465089409001</v>
      </c>
      <c r="BC15" s="3">
        <f t="shared" si="69"/>
        <v>83931.670438514906</v>
      </c>
      <c r="BD15" s="3">
        <f t="shared" si="69"/>
        <v>83092.353734129763</v>
      </c>
      <c r="BE15" s="3">
        <f t="shared" si="69"/>
        <v>82261.430196788468</v>
      </c>
      <c r="BF15" s="3">
        <f t="shared" si="69"/>
        <v>81438.815894820582</v>
      </c>
      <c r="BG15" s="3">
        <f t="shared" si="69"/>
        <v>80624.427735872378</v>
      </c>
      <c r="BH15" s="3">
        <f t="shared" si="69"/>
        <v>79818.183458513653</v>
      </c>
      <c r="BI15" s="3">
        <f t="shared" si="69"/>
        <v>79020.001623928518</v>
      </c>
      <c r="BJ15" s="3">
        <f t="shared" si="69"/>
        <v>78229.801607689238</v>
      </c>
      <c r="BK15" s="3">
        <f t="shared" si="69"/>
        <v>77447.503591612345</v>
      </c>
      <c r="BL15" s="3">
        <f t="shared" si="69"/>
        <v>76673.028555696219</v>
      </c>
      <c r="BM15" s="3">
        <f t="shared" si="69"/>
        <v>75906.298270139261</v>
      </c>
      <c r="BN15" s="3">
        <f t="shared" si="69"/>
        <v>75147.23528743787</v>
      </c>
      <c r="BO15" s="3">
        <f t="shared" si="69"/>
        <v>74395.762934563492</v>
      </c>
      <c r="BP15" s="3">
        <f t="shared" si="69"/>
        <v>73651.805305217858</v>
      </c>
      <c r="BQ15" s="3">
        <f t="shared" si="69"/>
        <v>72915.287252165683</v>
      </c>
      <c r="BR15" s="3">
        <f t="shared" si="69"/>
        <v>72186.13437964402</v>
      </c>
      <c r="BS15" s="3">
        <f t="shared" si="69"/>
        <v>71464.273035847582</v>
      </c>
      <c r="BT15" s="3">
        <f t="shared" si="69"/>
        <v>70749.630305489103</v>
      </c>
      <c r="BU15" s="3">
        <f t="shared" si="69"/>
        <v>70042.134002434206</v>
      </c>
      <c r="BV15" s="3">
        <f t="shared" si="69"/>
        <v>69341.71266240986</v>
      </c>
      <c r="BW15" s="3">
        <f t="shared" si="69"/>
        <v>68648.295535785757</v>
      </c>
      <c r="BX15" s="3">
        <f t="shared" si="69"/>
        <v>67961.812580427897</v>
      </c>
      <c r="BY15" s="3">
        <f t="shared" si="69"/>
        <v>67282.194454623619</v>
      </c>
      <c r="BZ15" s="3">
        <f t="shared" si="69"/>
        <v>66609.372510077388</v>
      </c>
      <c r="CA15" s="3">
        <f t="shared" si="69"/>
        <v>65943.278784976617</v>
      </c>
      <c r="CB15" s="3">
        <f t="shared" si="69"/>
        <v>65283.845997126853</v>
      </c>
      <c r="CC15" s="3">
        <f t="shared" si="69"/>
        <v>64631.007537155587</v>
      </c>
      <c r="CD15" s="3">
        <f t="shared" si="69"/>
        <v>63984.697461784031</v>
      </c>
      <c r="CE15" s="3">
        <f t="shared" si="69"/>
        <v>63344.850487166193</v>
      </c>
      <c r="CF15" s="3">
        <f t="shared" si="69"/>
        <v>62711.401982294534</v>
      </c>
      <c r="CG15" s="3">
        <f t="shared" si="69"/>
        <v>62084.287962471586</v>
      </c>
      <c r="CH15" s="3">
        <f t="shared" si="69"/>
        <v>61463.445082846869</v>
      </c>
      <c r="CI15" s="3">
        <f t="shared" si="69"/>
        <v>60848.810632018402</v>
      </c>
      <c r="CJ15" s="3">
        <f t="shared" ref="CJ15" si="70">+CI15*(1+$AQ$28)</f>
        <v>60240.322525698219</v>
      </c>
      <c r="CK15" s="3">
        <f t="shared" ref="CK15" si="71">+CJ15*(1+$AQ$28)</f>
        <v>59637.919300441237</v>
      </c>
      <c r="CL15" s="3">
        <f t="shared" ref="CL15" si="72">+CK15*(1+$AQ$28)</f>
        <v>59041.540107436827</v>
      </c>
      <c r="CM15" s="3">
        <f t="shared" ref="CM15" si="73">+CL15*(1+$AQ$28)</f>
        <v>58451.124706362461</v>
      </c>
      <c r="CN15" s="3">
        <f t="shared" ref="CN15" si="74">+CM15*(1+$AQ$28)</f>
        <v>57866.613459298838</v>
      </c>
      <c r="CO15" s="3">
        <f t="shared" ref="CO15" si="75">+CN15*(1+$AQ$28)</f>
        <v>57287.947324705849</v>
      </c>
      <c r="CP15" s="3">
        <f t="shared" ref="CP15" si="76">+CO15*(1+$AQ$28)</f>
        <v>56715.067851458793</v>
      </c>
      <c r="CQ15" s="3">
        <f t="shared" ref="CQ15" si="77">+CP15*(1+$AQ$28)</f>
        <v>56147.917172944202</v>
      </c>
      <c r="CR15" s="3">
        <f t="shared" ref="CR15" si="78">+CQ15*(1+$AQ$28)</f>
        <v>55586.438001214759</v>
      </c>
      <c r="CS15" s="3">
        <f t="shared" ref="CS15" si="79">+CR15*(1+$AQ$28)</f>
        <v>55030.57362120261</v>
      </c>
      <c r="CT15" s="3">
        <f t="shared" ref="CT15" si="80">+CS15*(1+$AQ$28)</f>
        <v>54480.267884990586</v>
      </c>
      <c r="CU15" s="3">
        <f t="shared" ref="CU15" si="81">+CT15*(1+$AQ$28)</f>
        <v>53935.465206140681</v>
      </c>
      <c r="CV15" s="3">
        <f t="shared" ref="CV15" si="82">+CU15*(1+$AQ$28)</f>
        <v>53396.110554079271</v>
      </c>
      <c r="CW15" s="3">
        <f t="shared" ref="CW15" si="83">+CV15*(1+$AQ$28)</f>
        <v>52862.149448538476</v>
      </c>
      <c r="CX15" s="3">
        <f t="shared" ref="CX15" si="84">+CW15*(1+$AQ$28)</f>
        <v>52333.52795405309</v>
      </c>
      <c r="CY15" s="3">
        <f t="shared" ref="CY15" si="85">+CX15*(1+$AQ$28)</f>
        <v>51810.19267451256</v>
      </c>
      <c r="CZ15" s="3">
        <f t="shared" ref="CZ15" si="86">+CY15*(1+$AQ$28)</f>
        <v>51292.090747767434</v>
      </c>
      <c r="DA15" s="3">
        <f t="shared" ref="DA15" si="87">+CZ15*(1+$AQ$28)</f>
        <v>50779.16984028976</v>
      </c>
      <c r="DB15" s="3">
        <f t="shared" ref="DB15" si="88">+DA15*(1+$AQ$28)</f>
        <v>50271.37814188686</v>
      </c>
      <c r="DC15" s="3">
        <f t="shared" ref="DC15" si="89">+DB15*(1+$AQ$28)</f>
        <v>49768.664360467992</v>
      </c>
      <c r="DD15" s="3">
        <f t="shared" ref="DD15" si="90">+DC15*(1+$AQ$28)</f>
        <v>49270.977716863308</v>
      </c>
      <c r="DE15" s="3">
        <f t="shared" ref="DE15" si="91">+DD15*(1+$AQ$28)</f>
        <v>48778.267939694677</v>
      </c>
      <c r="DF15" s="3">
        <f t="shared" ref="DF15" si="92">+DE15*(1+$AQ$28)</f>
        <v>48290.485260297726</v>
      </c>
      <c r="DG15" s="3">
        <f t="shared" ref="DG15" si="93">+DF15*(1+$AQ$28)</f>
        <v>47807.580407694746</v>
      </c>
      <c r="DH15" s="3">
        <f t="shared" ref="DH15" si="94">+DG15*(1+$AQ$28)</f>
        <v>47329.504603617796</v>
      </c>
      <c r="DI15" s="3">
        <f t="shared" ref="DI15" si="95">+DH15*(1+$AQ$28)</f>
        <v>46856.20955758162</v>
      </c>
      <c r="DJ15" s="3">
        <f t="shared" ref="DJ15" si="96">+DI15*(1+$AQ$28)</f>
        <v>46387.647462005807</v>
      </c>
      <c r="DK15" s="3">
        <f t="shared" ref="DK15" si="97">+DJ15*(1+$AQ$28)</f>
        <v>45923.770987385746</v>
      </c>
      <c r="DL15" s="3">
        <f t="shared" ref="DL15" si="98">+DK15*(1+$AQ$28)</f>
        <v>45464.533277511888</v>
      </c>
      <c r="DM15" s="3">
        <f t="shared" ref="DM15" si="99">+DL15*(1+$AQ$28)</f>
        <v>45009.887944736765</v>
      </c>
      <c r="DN15" s="3">
        <f t="shared" ref="DN15" si="100">+DM15*(1+$AQ$28)</f>
        <v>44559.789065289398</v>
      </c>
      <c r="DO15" s="3">
        <f t="shared" ref="DO15" si="101">+DN15*(1+$AQ$28)</f>
        <v>44114.191174636508</v>
      </c>
      <c r="DP15" s="3">
        <f t="shared" ref="DP15" si="102">+DO15*(1+$AQ$28)</f>
        <v>43673.049262890141</v>
      </c>
      <c r="DQ15" s="3">
        <f t="shared" ref="DQ15" si="103">+DP15*(1+$AQ$28)</f>
        <v>43236.318770261241</v>
      </c>
      <c r="DR15" s="3">
        <f t="shared" ref="DR15" si="104">+DQ15*(1+$AQ$28)</f>
        <v>42803.955582558629</v>
      </c>
      <c r="DS15" s="3">
        <f t="shared" ref="DS15" si="105">+DR15*(1+$AQ$28)</f>
        <v>42375.916026733044</v>
      </c>
      <c r="DT15" s="3">
        <f t="shared" ref="DT15" si="106">+DS15*(1+$AQ$28)</f>
        <v>41952.156866465717</v>
      </c>
      <c r="DU15" s="3">
        <f t="shared" ref="DU15" si="107">+DT15*(1+$AQ$28)</f>
        <v>41532.635297801062</v>
      </c>
      <c r="DV15" s="3">
        <f t="shared" ref="DV15" si="108">+DU15*(1+$AQ$28)</f>
        <v>41117.308944823053</v>
      </c>
      <c r="DW15" s="3">
        <f t="shared" ref="DW15" si="109">+DV15*(1+$AQ$28)</f>
        <v>40706.135855374821</v>
      </c>
      <c r="DX15" s="3">
        <f t="shared" ref="DX15" si="110">+DW15*(1+$AQ$28)</f>
        <v>40299.074496821071</v>
      </c>
      <c r="DY15" s="3">
        <f t="shared" ref="DY15" si="111">+DX15*(1+$AQ$28)</f>
        <v>39896.083751852857</v>
      </c>
      <c r="DZ15" s="3">
        <f t="shared" ref="DZ15" si="112">+DY15*(1+$AQ$28)</f>
        <v>39497.12291433433</v>
      </c>
      <c r="EA15" s="3">
        <f t="shared" ref="EA15" si="113">+DZ15*(1+$AQ$28)</f>
        <v>39102.151685190984</v>
      </c>
      <c r="EB15" s="3">
        <f t="shared" ref="EB15" si="114">+EA15*(1+$AQ$28)</f>
        <v>38711.13016833907</v>
      </c>
      <c r="EC15" s="3">
        <f t="shared" ref="EC15" si="115">+EB15*(1+$AQ$28)</f>
        <v>38324.018866655679</v>
      </c>
      <c r="ED15" s="3">
        <f t="shared" ref="ED15" si="116">+EC15*(1+$AQ$28)</f>
        <v>37940.778677989125</v>
      </c>
      <c r="EE15" s="3">
        <f t="shared" ref="EE15" si="117">+ED15*(1+$AQ$28)</f>
        <v>37561.370891209233</v>
      </c>
      <c r="EF15" s="3">
        <f t="shared" ref="EF15" si="118">+EE15*(1+$AQ$28)</f>
        <v>37185.757182297144</v>
      </c>
      <c r="EG15" s="3">
        <f t="shared" ref="EG15" si="119">+EF15*(1+$AQ$28)</f>
        <v>36813.899610474175</v>
      </c>
      <c r="EH15" s="3">
        <f t="shared" ref="EH15" si="120">+EG15*(1+$AQ$28)</f>
        <v>36445.760614369436</v>
      </c>
      <c r="EI15" s="3">
        <f t="shared" ref="EI15" si="121">+EH15*(1+$AQ$28)</f>
        <v>36081.303008225739</v>
      </c>
      <c r="EJ15" s="3">
        <f t="shared" ref="EJ15" si="122">+EI15*(1+$AQ$28)</f>
        <v>35720.48997814348</v>
      </c>
      <c r="EK15" s="3">
        <f t="shared" ref="EK15" si="123">+EJ15*(1+$AQ$28)</f>
        <v>35363.285078362045</v>
      </c>
      <c r="EL15" s="3">
        <f t="shared" ref="EL15" si="124">+EK15*(1+$AQ$28)</f>
        <v>35009.652227578423</v>
      </c>
      <c r="EM15" s="3">
        <f t="shared" ref="EM15" si="125">+EL15*(1+$AQ$28)</f>
        <v>34659.555705302635</v>
      </c>
      <c r="EN15" s="3">
        <f t="shared" ref="EN15" si="126">+EM15*(1+$AQ$28)</f>
        <v>34312.960148249607</v>
      </c>
      <c r="EO15" s="3">
        <f t="shared" ref="EO15" si="127">+EN15*(1+$AQ$28)</f>
        <v>33969.830546767109</v>
      </c>
      <c r="EP15" s="3">
        <f t="shared" ref="EP15" si="128">+EO15*(1+$AQ$28)</f>
        <v>33630.132241299434</v>
      </c>
      <c r="EQ15" s="3">
        <f t="shared" ref="EQ15" si="129">+EP15*(1+$AQ$28)</f>
        <v>33293.830918886437</v>
      </c>
      <c r="ER15" s="3">
        <f t="shared" ref="ER15" si="130">+EQ15*(1+$AQ$28)</f>
        <v>32960.89260969757</v>
      </c>
      <c r="ES15" s="3">
        <f t="shared" ref="ES15" si="131">+ER15*(1+$AQ$28)</f>
        <v>32631.283683600595</v>
      </c>
      <c r="ET15" s="3">
        <f t="shared" ref="ET15" si="132">+ES15*(1+$AQ$28)</f>
        <v>32304.970846764591</v>
      </c>
      <c r="EU15" s="3">
        <f t="shared" ref="EU15" si="133">+ET15*(1+$AQ$28)</f>
        <v>31981.921138296944</v>
      </c>
      <c r="EV15" s="3">
        <f t="shared" ref="EV15" si="134">+EU15*(1+$AQ$28)</f>
        <v>31662.101926913976</v>
      </c>
      <c r="EW15" s="3">
        <f t="shared" ref="EW15" si="135">+EV15*(1+$AQ$28)</f>
        <v>31345.480907644836</v>
      </c>
      <c r="EX15" s="3">
        <f t="shared" ref="EX15" si="136">+EW15*(1+$AQ$28)</f>
        <v>31032.026098568389</v>
      </c>
    </row>
    <row r="16" spans="1:154" x14ac:dyDescent="0.2">
      <c r="B16" s="3" t="s">
        <v>19</v>
      </c>
    </row>
    <row r="17" spans="2:48" x14ac:dyDescent="0.2">
      <c r="B17" s="3" t="s">
        <v>1</v>
      </c>
    </row>
    <row r="20" spans="2:48" x14ac:dyDescent="0.2">
      <c r="B20" s="3" t="s">
        <v>44</v>
      </c>
      <c r="C20" s="5"/>
      <c r="D20" s="5"/>
      <c r="E20" s="5"/>
      <c r="F20" s="5"/>
      <c r="G20" s="5">
        <f>G5/C5-1</f>
        <v>7.5807556739116544E-2</v>
      </c>
      <c r="H20" s="5">
        <f>H5/D5-1</f>
        <v>5.7392760648702357E-2</v>
      </c>
      <c r="I20" s="5">
        <f>I5/E5-1</f>
        <v>5.2292671435021809E-2</v>
      </c>
      <c r="J20" s="5">
        <f>J5/F5-1</f>
        <v>5.6934555739783566E-2</v>
      </c>
      <c r="K20" s="5">
        <f t="shared" ref="K20:P20" si="137">K5/G5-1</f>
        <v>6.045265625307783E-2</v>
      </c>
      <c r="L20" s="5">
        <f t="shared" si="137"/>
        <v>4.765764205107903E-2</v>
      </c>
      <c r="M20" s="5">
        <f t="shared" si="137"/>
        <v>5.4625506828188453E-2</v>
      </c>
      <c r="N20" s="5">
        <f t="shared" si="137"/>
        <v>4.1329273075414674E-2</v>
      </c>
      <c r="O20" s="5">
        <f t="shared" si="137"/>
        <v>2.5391931049855154E-2</v>
      </c>
      <c r="P20" s="5">
        <f t="shared" si="137"/>
        <v>4.7639294888829786E-2</v>
      </c>
      <c r="Q20" s="5">
        <f>Q5/M5-1</f>
        <v>5.8423945090454454E-2</v>
      </c>
      <c r="R20" s="5">
        <f>R5/N5-1</f>
        <v>5.595002049248432E-2</v>
      </c>
      <c r="AB20" s="5" t="e">
        <f t="shared" ref="AB20:AL20" si="138">AB5/AA5-1</f>
        <v>#DIV/0!</v>
      </c>
      <c r="AC20" s="5">
        <f t="shared" si="138"/>
        <v>7.7634662850267766E-3</v>
      </c>
      <c r="AD20" s="5">
        <f t="shared" si="138"/>
        <v>2.9781444945489843E-2</v>
      </c>
      <c r="AE20" s="5">
        <f t="shared" si="138"/>
        <v>2.8104720161968855E-2</v>
      </c>
      <c r="AF20" s="5">
        <f t="shared" si="138"/>
        <v>1.85826343056541E-2</v>
      </c>
      <c r="AG20" s="5">
        <f t="shared" si="138"/>
        <v>6.7155377086975498E-2</v>
      </c>
      <c r="AH20" s="5">
        <f t="shared" si="138"/>
        <v>2.4327954345069625E-2</v>
      </c>
      <c r="AI20" s="5">
        <f t="shared" si="138"/>
        <v>6.7280193590965709E-2</v>
      </c>
      <c r="AJ20" s="5">
        <f t="shared" si="138"/>
        <v>6.02595499019285E-2</v>
      </c>
      <c r="AK20" s="5">
        <f t="shared" si="138"/>
        <v>5.0700096432015451E-2</v>
      </c>
      <c r="AL20" s="5">
        <f>AL5/AK5-1</f>
        <v>4.6892369141757984E-2</v>
      </c>
      <c r="AM20" s="5">
        <f t="shared" ref="AM20:AV20" si="139">AM5/AL5-1</f>
        <v>5.0000000000000044E-2</v>
      </c>
      <c r="AN20" s="5">
        <f t="shared" si="139"/>
        <v>4.9999999999999822E-2</v>
      </c>
      <c r="AO20" s="5">
        <f t="shared" si="139"/>
        <v>5.0000000000000044E-2</v>
      </c>
      <c r="AP20" s="5">
        <f t="shared" si="139"/>
        <v>5.0000000000000044E-2</v>
      </c>
      <c r="AQ20" s="5">
        <f t="shared" si="139"/>
        <v>3.0000000000000027E-2</v>
      </c>
      <c r="AR20" s="5">
        <f t="shared" si="139"/>
        <v>3.0000000000000027E-2</v>
      </c>
      <c r="AS20" s="5">
        <f t="shared" si="139"/>
        <v>3.0000000000000027E-2</v>
      </c>
      <c r="AT20" s="5">
        <f t="shared" si="139"/>
        <v>3.0000000000000249E-2</v>
      </c>
      <c r="AU20" s="5">
        <f t="shared" si="139"/>
        <v>3.0000000000000027E-2</v>
      </c>
      <c r="AV20" s="5">
        <f t="shared" si="139"/>
        <v>3.0000000000000027E-2</v>
      </c>
    </row>
    <row r="21" spans="2:48" x14ac:dyDescent="0.2">
      <c r="B21" s="3" t="s">
        <v>25</v>
      </c>
      <c r="C21" s="5">
        <f t="shared" ref="C21:J21" si="140">C7/C5</f>
        <v>0.24526555955046656</v>
      </c>
      <c r="D21" s="5">
        <f t="shared" si="140"/>
        <v>0.24219051544233575</v>
      </c>
      <c r="E21" s="5">
        <f t="shared" si="140"/>
        <v>0.24343478630744766</v>
      </c>
      <c r="F21" s="5">
        <f t="shared" si="140"/>
        <v>0.23544938066907248</v>
      </c>
      <c r="G21" s="5">
        <f t="shared" si="140"/>
        <v>0.24305158863040952</v>
      </c>
      <c r="H21" s="5">
        <f t="shared" si="140"/>
        <v>0.24612700455355374</v>
      </c>
      <c r="I21" s="5">
        <f t="shared" si="140"/>
        <v>0.24639312454914056</v>
      </c>
      <c r="J21" s="5">
        <f t="shared" si="140"/>
        <v>0.23971093731976839</v>
      </c>
      <c r="K21" s="5">
        <f t="shared" ref="K21:P21" si="141">K7/K5</f>
        <v>0.24814250687272457</v>
      </c>
      <c r="L21" s="5">
        <f t="shared" si="141"/>
        <v>0.25112941801753919</v>
      </c>
      <c r="M21" s="5">
        <f t="shared" si="141"/>
        <v>0.24912140009906361</v>
      </c>
      <c r="N21" s="5">
        <f t="shared" si="141"/>
        <v>0.24581011774870676</v>
      </c>
      <c r="O21" s="5">
        <f t="shared" si="141"/>
        <v>0.24941881177955305</v>
      </c>
      <c r="P21" s="5">
        <f t="shared" si="141"/>
        <v>0.25158115466567454</v>
      </c>
      <c r="Q21" s="5">
        <f>Q7/Q5</f>
        <v>0.24953202299772698</v>
      </c>
      <c r="R21" s="5">
        <f>R7/R5</f>
        <v>0.24673233467606578</v>
      </c>
    </row>
    <row r="24" spans="2:48" x14ac:dyDescent="0.2">
      <c r="B24" s="3" t="s">
        <v>24</v>
      </c>
      <c r="Q24" s="3">
        <f>Q25-Q41-Q43</f>
        <v>-27386</v>
      </c>
      <c r="R24" s="3">
        <f>R25-R41-R43</f>
        <v>-27439</v>
      </c>
      <c r="AL24" s="3">
        <v>-27439</v>
      </c>
      <c r="AM24" s="3">
        <f>AM15+AL24</f>
        <v>-1606.6099999999715</v>
      </c>
      <c r="AN24" s="3">
        <f t="shared" ref="AN24:AV24" si="142">AN15+AM24</f>
        <v>25520.406099999949</v>
      </c>
      <c r="AO24" s="3">
        <f t="shared" si="142"/>
        <v>54006.74953899988</v>
      </c>
      <c r="AP24" s="3">
        <f t="shared" si="142"/>
        <v>83920.356918609818</v>
      </c>
      <c r="AQ24" s="3">
        <f t="shared" si="142"/>
        <v>122919.48456929871</v>
      </c>
      <c r="AR24" s="3">
        <f t="shared" si="142"/>
        <v>171360.93730067444</v>
      </c>
      <c r="AS24" s="3">
        <f t="shared" si="142"/>
        <v>229614.70408105804</v>
      </c>
      <c r="AT24" s="3">
        <f t="shared" si="142"/>
        <v>298064.39521022921</v>
      </c>
      <c r="AU24" s="3">
        <f t="shared" si="142"/>
        <v>377107.69351983751</v>
      </c>
      <c r="AV24" s="3">
        <f t="shared" si="142"/>
        <v>467156.820039763</v>
      </c>
    </row>
    <row r="25" spans="2:48" x14ac:dyDescent="0.2">
      <c r="B25" s="3" t="s">
        <v>3</v>
      </c>
      <c r="Q25" s="3">
        <v>10582</v>
      </c>
      <c r="R25" s="3">
        <v>10727</v>
      </c>
    </row>
    <row r="26" spans="2:48" x14ac:dyDescent="0.2">
      <c r="B26" s="3" t="s">
        <v>23</v>
      </c>
      <c r="Q26" s="3">
        <v>12115</v>
      </c>
      <c r="R26" s="3">
        <v>11172</v>
      </c>
      <c r="AP26" s="3" t="s">
        <v>57</v>
      </c>
      <c r="AQ26" s="9">
        <v>7.0000000000000007E-2</v>
      </c>
    </row>
    <row r="27" spans="2:48" x14ac:dyDescent="0.2">
      <c r="B27" s="3" t="s">
        <v>45</v>
      </c>
      <c r="Q27" s="3">
        <v>65354</v>
      </c>
      <c r="R27" s="3">
        <v>58851</v>
      </c>
      <c r="AP27" s="3" t="s">
        <v>58</v>
      </c>
      <c r="AQ27" s="9">
        <v>0.01</v>
      </c>
    </row>
    <row r="28" spans="2:48" x14ac:dyDescent="0.2">
      <c r="B28" s="3" t="s">
        <v>47</v>
      </c>
      <c r="Q28" s="3">
        <v>4869</v>
      </c>
      <c r="R28" s="3">
        <v>4124</v>
      </c>
      <c r="AP28" s="3" t="s">
        <v>59</v>
      </c>
      <c r="AQ28" s="9">
        <v>-0.01</v>
      </c>
    </row>
    <row r="29" spans="2:48" x14ac:dyDescent="0.2">
      <c r="B29" s="3" t="s">
        <v>46</v>
      </c>
      <c r="Q29" s="3">
        <v>130201</v>
      </c>
      <c r="R29" s="3">
        <v>136083</v>
      </c>
    </row>
    <row r="30" spans="2:48" x14ac:dyDescent="0.2">
      <c r="B30" s="3" t="s">
        <v>22</v>
      </c>
      <c r="Q30" s="3">
        <f>14501+6138</f>
        <v>20639</v>
      </c>
      <c r="R30" s="3">
        <f>14750+6123</f>
        <v>20873</v>
      </c>
    </row>
    <row r="31" spans="2:48" x14ac:dyDescent="0.2">
      <c r="B31" s="3" t="s">
        <v>21</v>
      </c>
      <c r="Q31" s="3">
        <v>28722</v>
      </c>
      <c r="R31" s="3">
        <v>28735</v>
      </c>
      <c r="AP31" s="3" t="s">
        <v>60</v>
      </c>
      <c r="AQ31" s="3">
        <f>NPV(AQ26,AK15:CI15)</f>
        <v>786493.93309448718</v>
      </c>
    </row>
    <row r="32" spans="2:48" x14ac:dyDescent="0.2">
      <c r="B32" s="3" t="s">
        <v>62</v>
      </c>
      <c r="Q32" s="3">
        <v>16173</v>
      </c>
      <c r="R32" s="3">
        <v>14103</v>
      </c>
      <c r="AP32" s="3" t="s">
        <v>61</v>
      </c>
      <c r="AQ32" s="3">
        <f>AQ31/Main!K3</f>
        <v>98.115510615579737</v>
      </c>
    </row>
    <row r="33" spans="2:43" x14ac:dyDescent="0.2">
      <c r="AP33" s="4" t="s">
        <v>65</v>
      </c>
      <c r="AQ33" s="10">
        <f>AQ32/Main!K2-1</f>
        <v>-0.20231292182455496</v>
      </c>
    </row>
    <row r="34" spans="2:43" x14ac:dyDescent="0.2">
      <c r="B34" s="3" t="s">
        <v>20</v>
      </c>
      <c r="Q34" s="3">
        <f>SUM(Q25:Q32)</f>
        <v>288655</v>
      </c>
      <c r="R34" s="3">
        <f>SUM(R25:R32)</f>
        <v>284668</v>
      </c>
    </row>
    <row r="36" spans="2:43" x14ac:dyDescent="0.2">
      <c r="B36" s="3" t="s">
        <v>48</v>
      </c>
      <c r="Q36" s="3">
        <v>8401</v>
      </c>
      <c r="R36" s="3">
        <v>6596</v>
      </c>
    </row>
    <row r="37" spans="2:43" x14ac:dyDescent="0.2">
      <c r="B37" s="3" t="s">
        <v>49</v>
      </c>
      <c r="Q37" s="3">
        <v>67156</v>
      </c>
      <c r="R37" s="3">
        <v>63061</v>
      </c>
    </row>
    <row r="38" spans="2:43" x14ac:dyDescent="0.2">
      <c r="B38" s="3" t="s">
        <v>50</v>
      </c>
      <c r="Q38" s="3">
        <v>1908</v>
      </c>
      <c r="R38" s="3">
        <v>0</v>
      </c>
    </row>
    <row r="39" spans="2:43" x14ac:dyDescent="0.2">
      <c r="B39" s="3" t="s">
        <v>51</v>
      </c>
      <c r="Q39" s="3">
        <v>31521</v>
      </c>
      <c r="R39" s="3">
        <v>31187</v>
      </c>
    </row>
    <row r="40" spans="2:43" x14ac:dyDescent="0.2">
      <c r="B40" s="3" t="s">
        <v>52</v>
      </c>
      <c r="Q40" s="3">
        <v>789</v>
      </c>
      <c r="R40" s="3">
        <v>596</v>
      </c>
    </row>
    <row r="41" spans="2:43" x14ac:dyDescent="0.2">
      <c r="B41" s="3" t="s">
        <v>64</v>
      </c>
      <c r="Q41" s="3">
        <v>3523</v>
      </c>
      <c r="R41" s="3">
        <v>3542</v>
      </c>
    </row>
    <row r="42" spans="2:43" x14ac:dyDescent="0.2">
      <c r="B42" s="3" t="s">
        <v>22</v>
      </c>
      <c r="Q42" s="3">
        <f>1592+842+13705+5916</f>
        <v>22055</v>
      </c>
      <c r="R42" s="3">
        <f>1631+856+13941+5905</f>
        <v>22333</v>
      </c>
    </row>
    <row r="43" spans="2:43" x14ac:dyDescent="0.2">
      <c r="B43" s="3" t="s">
        <v>53</v>
      </c>
      <c r="Q43" s="3">
        <v>34445</v>
      </c>
      <c r="R43" s="3">
        <v>34624</v>
      </c>
    </row>
    <row r="44" spans="2:43" x14ac:dyDescent="0.2">
      <c r="B44" s="3" t="s">
        <v>54</v>
      </c>
      <c r="Q44" s="3">
        <v>16345</v>
      </c>
      <c r="R44" s="3">
        <v>16549</v>
      </c>
    </row>
    <row r="45" spans="2:43" x14ac:dyDescent="0.2">
      <c r="B45" s="3" t="s">
        <v>26</v>
      </c>
      <c r="Q45" s="3">
        <v>306</v>
      </c>
      <c r="R45" s="3">
        <v>293</v>
      </c>
    </row>
    <row r="46" spans="2:43" x14ac:dyDescent="0.2">
      <c r="B46" s="3" t="s">
        <v>63</v>
      </c>
      <c r="Q46" s="3">
        <f>SUM(Q36:Q45)</f>
        <v>186449</v>
      </c>
      <c r="R46" s="3">
        <f>SUM(R36:R45)</f>
        <v>178781</v>
      </c>
    </row>
    <row r="48" spans="2:43" x14ac:dyDescent="0.2">
      <c r="B48" s="3" t="s">
        <v>55</v>
      </c>
      <c r="Q48" s="3">
        <v>102206</v>
      </c>
      <c r="R48" s="3">
        <v>105887</v>
      </c>
    </row>
    <row r="49" spans="2:18" x14ac:dyDescent="0.2">
      <c r="B49" s="3" t="s">
        <v>56</v>
      </c>
      <c r="Q49" s="3">
        <f>Q46+Q48</f>
        <v>288655</v>
      </c>
      <c r="R49" s="3">
        <f>R46+R48</f>
        <v>284668</v>
      </c>
    </row>
    <row r="51" spans="2:18" x14ac:dyDescent="0.2">
      <c r="B51" s="8"/>
    </row>
    <row r="52" spans="2:18" x14ac:dyDescent="0.2">
      <c r="B52" s="8"/>
    </row>
    <row r="53" spans="2:18" x14ac:dyDescent="0.2">
      <c r="B53" s="8"/>
    </row>
    <row r="54" spans="2:18" x14ac:dyDescent="0.2">
      <c r="B54" s="8"/>
    </row>
    <row r="55" spans="2:18" x14ac:dyDescent="0.2">
      <c r="B55" s="8"/>
    </row>
    <row r="56" spans="2:18" x14ac:dyDescent="0.2">
      <c r="B56" s="8"/>
    </row>
    <row r="57" spans="2:18" x14ac:dyDescent="0.2">
      <c r="B57" s="8"/>
    </row>
    <row r="58" spans="2:18" x14ac:dyDescent="0.2">
      <c r="B58" s="8"/>
    </row>
    <row r="59" spans="2:18" x14ac:dyDescent="0.2">
      <c r="B59" s="8"/>
    </row>
    <row r="60" spans="2:18" x14ac:dyDescent="0.2">
      <c r="B60" s="8"/>
    </row>
    <row r="61" spans="2:18" x14ac:dyDescent="0.2">
      <c r="B61" s="8"/>
    </row>
    <row r="62" spans="2:18" x14ac:dyDescent="0.2">
      <c r="B62" s="8"/>
    </row>
    <row r="63" spans="2:18" x14ac:dyDescent="0.2">
      <c r="B63" s="8"/>
    </row>
    <row r="64" spans="2:18" x14ac:dyDescent="0.2">
      <c r="B64" s="8"/>
    </row>
    <row r="65" spans="2:2" x14ac:dyDescent="0.2">
      <c r="B65" s="8"/>
    </row>
    <row r="66" spans="2:2" x14ac:dyDescent="0.2">
      <c r="B66" s="8"/>
    </row>
    <row r="67" spans="2:2" x14ac:dyDescent="0.2">
      <c r="B67" s="8"/>
    </row>
    <row r="68" spans="2:2" x14ac:dyDescent="0.2">
      <c r="B68" s="8"/>
    </row>
    <row r="69" spans="2:2" x14ac:dyDescent="0.2">
      <c r="B69" s="8"/>
    </row>
    <row r="70" spans="2:2" x14ac:dyDescent="0.2">
      <c r="B70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COCA V S SILVIU-MARIAN</cp:lastModifiedBy>
  <dcterms:created xsi:type="dcterms:W3CDTF">2025-03-06T16:16:50Z</dcterms:created>
  <dcterms:modified xsi:type="dcterms:W3CDTF">2026-02-28T15:04:39Z</dcterms:modified>
</cp:coreProperties>
</file>